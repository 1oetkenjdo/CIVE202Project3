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7cbf3353e9af97e5/Desktop/SP2026/CODES/PROJECT 3/Submissions/"/>
    </mc:Choice>
  </mc:AlternateContent>
  <xr:revisionPtr revIDLastSave="219" documentId="8_{384799DF-1B7E-41BF-A1EC-56E39BB91AC2}" xr6:coauthVersionLast="47" xr6:coauthVersionMax="47" xr10:uidLastSave="{9B33C463-7580-434C-BED7-11FEF8C95BB9}"/>
  <bookViews>
    <workbookView xWindow="-120" yWindow="-120" windowWidth="38640" windowHeight="15720" activeTab="6" xr2:uid="{00000000-000D-0000-FFFF-FFFF00000000}"/>
  </bookViews>
  <sheets>
    <sheet name="Week Ending 2.28" sheetId="1" r:id="rId1"/>
    <sheet name="Week Ending 3.7" sheetId="5" r:id="rId2"/>
    <sheet name="Week Ending 3.14" sheetId="6" r:id="rId3"/>
    <sheet name="Week Ending 3.21" sheetId="7" r:id="rId4"/>
    <sheet name="Week Ending 3.28" sheetId="8" r:id="rId5"/>
    <sheet name="Week Ending 4.4" sheetId="9" r:id="rId6"/>
    <sheet name="Summary" sheetId="4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9" l="1"/>
  <c r="D5" i="4" s="1"/>
  <c r="D9" i="9"/>
  <c r="G9" i="9"/>
  <c r="G3" i="9"/>
  <c r="F3" i="9" a="1"/>
  <c r="F3" i="9" s="1"/>
  <c r="C5" i="4"/>
  <c r="B3" i="9"/>
  <c r="F8" i="9" a="1"/>
  <c r="F8" i="9" s="1"/>
  <c r="G8" i="9" s="1"/>
  <c r="F7" i="9" a="1"/>
  <c r="F7" i="9" s="1"/>
  <c r="G7" i="9" s="1"/>
  <c r="F6" i="9" a="1"/>
  <c r="F6" i="9" s="1"/>
  <c r="G6" i="9" s="1"/>
  <c r="F5" i="9" a="1"/>
  <c r="F5" i="9" s="1"/>
  <c r="G5" i="9" s="1"/>
  <c r="F4" i="9" a="1"/>
  <c r="F4" i="9" s="1"/>
  <c r="G4" i="9" s="1"/>
  <c r="B4" i="9"/>
  <c r="B5" i="9" s="1"/>
  <c r="B6" i="9" s="1"/>
  <c r="B7" i="9" s="1"/>
  <c r="B8" i="9" s="1"/>
  <c r="B7" i="8"/>
  <c r="B8" i="8"/>
  <c r="F8" i="8" a="1"/>
  <c r="F8" i="8" s="1"/>
  <c r="G8" i="8" s="1"/>
  <c r="F7" i="8" a="1"/>
  <c r="F7" i="8" s="1"/>
  <c r="G7" i="8" s="1"/>
  <c r="D10" i="8"/>
  <c r="F9" i="8" a="1"/>
  <c r="F9" i="8" s="1"/>
  <c r="G9" i="8" s="1"/>
  <c r="F6" i="8" a="1"/>
  <c r="F6" i="8" s="1"/>
  <c r="G6" i="8" s="1"/>
  <c r="F5" i="8" a="1"/>
  <c r="F5" i="8" s="1"/>
  <c r="G5" i="8" s="1"/>
  <c r="F4" i="8" a="1"/>
  <c r="F4" i="8" s="1"/>
  <c r="G4" i="8" s="1"/>
  <c r="F3" i="8" a="1"/>
  <c r="F3" i="8" s="1"/>
  <c r="G3" i="8" s="1"/>
  <c r="B3" i="8"/>
  <c r="B4" i="8" s="1"/>
  <c r="B5" i="8" s="1"/>
  <c r="B6" i="8" s="1"/>
  <c r="D8" i="7"/>
  <c r="F7" i="7" a="1"/>
  <c r="F7" i="7" s="1"/>
  <c r="G7" i="7" s="1"/>
  <c r="F6" i="7" a="1"/>
  <c r="F6" i="7" s="1"/>
  <c r="G6" i="7" s="1"/>
  <c r="F5" i="7"/>
  <c r="G5" i="7" s="1"/>
  <c r="F5" i="7" a="1"/>
  <c r="F4" i="7" a="1"/>
  <c r="F4" i="7" s="1"/>
  <c r="G4" i="7" s="1"/>
  <c r="F3" i="7" a="1"/>
  <c r="F3" i="7" s="1"/>
  <c r="G3" i="7" s="1"/>
  <c r="B3" i="7"/>
  <c r="B4" i="7" s="1"/>
  <c r="B5" i="7" s="1"/>
  <c r="B6" i="7" s="1"/>
  <c r="B7" i="7" s="1"/>
  <c r="D8" i="6"/>
  <c r="F7" i="6" a="1"/>
  <c r="F7" i="6" s="1"/>
  <c r="G7" i="6" s="1"/>
  <c r="F6" i="6" a="1"/>
  <c r="F6" i="6" s="1"/>
  <c r="G6" i="6" s="1"/>
  <c r="F5" i="6" a="1"/>
  <c r="F5" i="6" s="1"/>
  <c r="G5" i="6" s="1"/>
  <c r="F4" i="6" a="1"/>
  <c r="F4" i="6" s="1"/>
  <c r="G4" i="6" s="1"/>
  <c r="F3" i="6" a="1"/>
  <c r="F3" i="6" s="1"/>
  <c r="G3" i="6" s="1"/>
  <c r="B3" i="6"/>
  <c r="B4" i="6" s="1"/>
  <c r="B5" i="6" s="1"/>
  <c r="B6" i="6" s="1"/>
  <c r="B7" i="6" s="1"/>
  <c r="D8" i="5"/>
  <c r="F7" i="5" a="1"/>
  <c r="F7" i="5" s="1"/>
  <c r="G7" i="5" s="1"/>
  <c r="F6" i="5" a="1"/>
  <c r="F6" i="5" s="1"/>
  <c r="G6" i="5" s="1"/>
  <c r="F5" i="5" a="1"/>
  <c r="F5" i="5" s="1"/>
  <c r="G5" i="5" s="1"/>
  <c r="F4" i="5" a="1"/>
  <c r="F4" i="5" s="1"/>
  <c r="G4" i="5" s="1"/>
  <c r="F3" i="5" a="1"/>
  <c r="F3" i="5" s="1"/>
  <c r="G3" i="5" s="1"/>
  <c r="B3" i="5"/>
  <c r="B4" i="5" s="1"/>
  <c r="B5" i="5" s="1"/>
  <c r="B6" i="5" s="1"/>
  <c r="B7" i="5" s="1"/>
  <c r="B3" i="1"/>
  <c r="B4" i="1"/>
  <c r="B5" i="1" s="1"/>
  <c r="B6" i="1" s="1"/>
  <c r="B7" i="1" s="1"/>
  <c r="F4" i="1" a="1"/>
  <c r="F4" i="1" s="1"/>
  <c r="G4" i="1" s="1"/>
  <c r="F5" i="1" a="1"/>
  <c r="F5" i="1" s="1"/>
  <c r="G5" i="1" s="1"/>
  <c r="F6" i="1" a="1"/>
  <c r="F6" i="1" s="1"/>
  <c r="G6" i="1" s="1"/>
  <c r="F7" i="1" a="1"/>
  <c r="F7" i="1"/>
  <c r="G7" i="1" s="1"/>
  <c r="F3" i="1" a="1"/>
  <c r="F3" i="1" s="1"/>
  <c r="G3" i="1" s="1"/>
  <c r="D8" i="1"/>
  <c r="G10" i="8" l="1"/>
  <c r="C16" i="8"/>
  <c r="C14" i="7"/>
  <c r="G8" i="7"/>
  <c r="C14" i="6"/>
  <c r="G8" i="6"/>
  <c r="C14" i="5"/>
  <c r="C14" i="1"/>
  <c r="G8" i="5"/>
  <c r="G8" i="1"/>
  <c r="B9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<sst xmlns="http://schemas.openxmlformats.org/spreadsheetml/2006/main" count="181" uniqueCount="37">
  <si>
    <t xml:space="preserve">Week Ending </t>
  </si>
  <si>
    <r>
      <rPr>
        <b/>
        <sz val="12"/>
        <color rgb="FF000000"/>
        <rFont val="Aptos"/>
        <family val="2"/>
      </rPr>
      <t>Day of Week</t>
    </r>
    <r>
      <rPr>
        <sz val="12"/>
        <color rgb="FF000000"/>
        <rFont val="Aptos"/>
        <family val="2"/>
      </rPr>
      <t> </t>
    </r>
  </si>
  <si>
    <r>
      <t>Date</t>
    </r>
    <r>
      <rPr>
        <sz val="12"/>
        <color theme="1"/>
        <rFont val="Aptos"/>
        <family val="2"/>
      </rPr>
      <t> </t>
    </r>
  </si>
  <si>
    <r>
      <t>Person</t>
    </r>
    <r>
      <rPr>
        <sz val="12"/>
        <color theme="1"/>
        <rFont val="Aptos"/>
        <family val="2"/>
      </rPr>
      <t> </t>
    </r>
  </si>
  <si>
    <r>
      <t>Hours Worked</t>
    </r>
    <r>
      <rPr>
        <sz val="12"/>
        <color theme="1"/>
        <rFont val="Aptos"/>
        <family val="2"/>
      </rPr>
      <t> </t>
    </r>
  </si>
  <si>
    <r>
      <t>Tasks completed</t>
    </r>
    <r>
      <rPr>
        <sz val="12"/>
        <color theme="1"/>
        <rFont val="Aptos"/>
        <family val="2"/>
      </rPr>
      <t> </t>
    </r>
  </si>
  <si>
    <r>
      <t>Hourly Rate</t>
    </r>
    <r>
      <rPr>
        <sz val="12"/>
        <color theme="1"/>
        <rFont val="Aptos"/>
        <family val="2"/>
      </rPr>
      <t> </t>
    </r>
  </si>
  <si>
    <r>
      <t>Total Compensation</t>
    </r>
    <r>
      <rPr>
        <sz val="12"/>
        <color theme="1"/>
        <rFont val="Aptos"/>
        <family val="2"/>
      </rPr>
      <t> </t>
    </r>
  </si>
  <si>
    <t>Monday </t>
  </si>
  <si>
    <t>Tuesday</t>
  </si>
  <si>
    <t>Jacob</t>
  </si>
  <si>
    <t>Wednesday</t>
  </si>
  <si>
    <t>Thursday</t>
  </si>
  <si>
    <t>Friday </t>
  </si>
  <si>
    <r>
      <t>Total</t>
    </r>
    <r>
      <rPr>
        <sz val="12"/>
        <color theme="1"/>
        <rFont val="Aptos"/>
        <family val="2"/>
      </rPr>
      <t> </t>
    </r>
  </si>
  <si>
    <t>Individual Totals for the Week</t>
  </si>
  <si>
    <t>Cost</t>
  </si>
  <si>
    <t>Person</t>
  </si>
  <si>
    <t>Total Hours</t>
  </si>
  <si>
    <t>Total Compensation</t>
  </si>
  <si>
    <t>Lecture and Lab work time</t>
  </si>
  <si>
    <t>Gantt Chart Creation and submission</t>
  </si>
  <si>
    <t>NA</t>
  </si>
  <si>
    <t>Begin Draft of Executive Summary</t>
  </si>
  <si>
    <t>Finish Draft of Executive Summary</t>
  </si>
  <si>
    <t>Begin Draft of Methods</t>
  </si>
  <si>
    <t>Finish Draft of Methods</t>
  </si>
  <si>
    <t>Begin descriptions of reproducible methods</t>
  </si>
  <si>
    <t>Continued work on reproducible methods</t>
  </si>
  <si>
    <t>Lecture and Lab Worktime</t>
  </si>
  <si>
    <t>Creation of project 3 final code document to allow clear digestion of methods and submit methods</t>
  </si>
  <si>
    <t>Saturday</t>
  </si>
  <si>
    <t>Creation of Github, SOW, Report, Finalization of Code
Finish SOW, Code, and 75% of Report.</t>
  </si>
  <si>
    <t>Submit Final Documents</t>
  </si>
  <si>
    <t>Finish Report</t>
  </si>
  <si>
    <t>Sunday</t>
  </si>
  <si>
    <t>Create and finish Annotated Code Document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</si>
</sst>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5" formatCode="&quot;$&quot;#,##0.00"/>
  </numFmts>
  <fonts count="8" x14ac:knownFonts="1"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b/>
      <sz val="12"/>
      <color rgb="FF000000"/>
      <name val="Aptos"/>
      <family val="2"/>
    </font>
    <font>
      <sz val="12"/>
      <color rgb="FF000000"/>
      <name val="Aptos"/>
      <family val="2"/>
    </font>
    <font>
      <b/>
      <sz val="11"/>
      <color theme="1"/>
      <name val="Calibri"/>
      <family val="2"/>
      <scheme val="minor"/>
    </font>
    <font>
      <b/>
      <sz val="11"/>
      <color rgb="FF242424"/>
      <name val="Aptos Narrow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7" fillId="0" borderId="0" applyFont="0" applyFill="0" applyBorder="0" applyAlignment="0" applyProtection="0"/>
  </cellStyleXfs>
  <cellXfs count="37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wrapText="1"/>
    </xf>
    <xf numFmtId="165" fontId="1" fillId="0" borderId="1" xfId="0" applyNumberFormat="1" applyFont="1" applyBorder="1" applyAlignment="1">
      <alignment horizontal="center" wrapText="1"/>
    </xf>
    <xf numFmtId="14" fontId="1" fillId="0" borderId="1" xfId="0" applyNumberFormat="1" applyFont="1" applyBorder="1" applyAlignment="1">
      <alignment vertical="center" wrapText="1"/>
    </xf>
    <xf numFmtId="0" fontId="5" fillId="0" borderId="0" xfId="0" applyFont="1"/>
    <xf numFmtId="14" fontId="6" fillId="0" borderId="0" xfId="0" applyNumberFormat="1" applyFont="1"/>
    <xf numFmtId="0" fontId="0" fillId="0" borderId="3" xfId="0" applyBorder="1"/>
    <xf numFmtId="0" fontId="5" fillId="0" borderId="5" xfId="0" applyFont="1" applyBorder="1"/>
    <xf numFmtId="0" fontId="5" fillId="0" borderId="6" xfId="0" applyFont="1" applyBorder="1"/>
    <xf numFmtId="0" fontId="5" fillId="0" borderId="7" xfId="0" applyFont="1" applyBorder="1"/>
    <xf numFmtId="0" fontId="0" fillId="0" borderId="2" xfId="0" applyFont="1" applyBorder="1"/>
    <xf numFmtId="44" fontId="0" fillId="0" borderId="4" xfId="1" applyFont="1" applyBorder="1"/>
    <xf numFmtId="0" fontId="3" fillId="0" borderId="9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14" fontId="1" fillId="0" borderId="12" xfId="0" applyNumberFormat="1" applyFont="1" applyBorder="1" applyAlignment="1">
      <alignment vertical="center" wrapText="1"/>
    </xf>
    <xf numFmtId="44" fontId="1" fillId="0" borderId="13" xfId="1" applyFont="1" applyBorder="1" applyAlignment="1">
      <alignment horizontal="center" vertical="center" wrapText="1"/>
    </xf>
    <xf numFmtId="0" fontId="1" fillId="0" borderId="12" xfId="0" applyFont="1" applyBorder="1" applyAlignment="1">
      <alignment vertical="center" wrapText="1"/>
    </xf>
    <xf numFmtId="0" fontId="2" fillId="0" borderId="14" xfId="0" applyFont="1" applyBorder="1" applyAlignment="1">
      <alignment vertical="center" wrapText="1"/>
    </xf>
    <xf numFmtId="0" fontId="2" fillId="0" borderId="15" xfId="0" applyFont="1" applyBorder="1" applyAlignment="1">
      <alignment vertical="center" wrapText="1"/>
    </xf>
    <xf numFmtId="0" fontId="2" fillId="0" borderId="16" xfId="0" applyFont="1" applyBorder="1" applyAlignment="1">
      <alignment vertical="center" wrapText="1"/>
    </xf>
    <xf numFmtId="0" fontId="1" fillId="0" borderId="17" xfId="0" applyFont="1" applyBorder="1" applyAlignment="1">
      <alignment vertical="center" wrapText="1"/>
    </xf>
    <xf numFmtId="0" fontId="2" fillId="0" borderId="18" xfId="0" applyFont="1" applyBorder="1" applyAlignment="1">
      <alignment vertical="center" wrapText="1"/>
    </xf>
    <xf numFmtId="44" fontId="1" fillId="0" borderId="8" xfId="1" applyFont="1" applyBorder="1" applyAlignment="1">
      <alignment vertical="center" wrapText="1"/>
    </xf>
    <xf numFmtId="0" fontId="0" fillId="0" borderId="2" xfId="0" applyBorder="1"/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1" fillId="0" borderId="2" xfId="0" applyFont="1" applyBorder="1" applyAlignment="1">
      <alignment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44" fontId="1" fillId="0" borderId="4" xfId="1" applyFont="1" applyBorder="1" applyAlignment="1">
      <alignment vertical="center" wrapText="1"/>
    </xf>
    <xf numFmtId="0" fontId="4" fillId="0" borderId="12" xfId="0" applyFont="1" applyBorder="1" applyAlignment="1">
      <alignment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14"/>
  <sheetViews>
    <sheetView workbookViewId="0">
      <selection activeCell="E19" sqref="E19"/>
    </sheetView>
  </sheetViews>
  <sheetFormatPr defaultRowHeight="15" x14ac:dyDescent="0.25"/>
  <cols>
    <col min="1" max="1" width="14.7109375" customWidth="1"/>
    <col min="2" max="2" width="25.85546875" bestFit="1" customWidth="1"/>
    <col min="3" max="3" width="12.28515625" customWidth="1"/>
    <col min="4" max="4" width="18.28515625" customWidth="1"/>
    <col min="5" max="5" width="75.140625" customWidth="1"/>
    <col min="6" max="6" width="17.28515625" customWidth="1"/>
    <col min="7" max="7" width="21.28515625" customWidth="1"/>
  </cols>
  <sheetData>
    <row r="1" spans="1:7" ht="15.75" thickBot="1" x14ac:dyDescent="0.3">
      <c r="A1" s="5" t="s">
        <v>0</v>
      </c>
      <c r="B1" s="6">
        <v>46081</v>
      </c>
    </row>
    <row r="2" spans="1:7" ht="32.25" thickBot="1" x14ac:dyDescent="0.3">
      <c r="A2" s="13" t="s">
        <v>1</v>
      </c>
      <c r="B2" s="14" t="s">
        <v>2</v>
      </c>
      <c r="C2" s="14" t="s">
        <v>3</v>
      </c>
      <c r="D2" s="14" t="s">
        <v>4</v>
      </c>
      <c r="E2" s="14" t="s">
        <v>5</v>
      </c>
      <c r="F2" s="14" t="s">
        <v>6</v>
      </c>
      <c r="G2" s="15" t="s">
        <v>7</v>
      </c>
    </row>
    <row r="3" spans="1:7" ht="16.5" thickBot="1" x14ac:dyDescent="0.3">
      <c r="A3" s="16" t="s">
        <v>8</v>
      </c>
      <c r="B3" s="4">
        <f>B1-5</f>
        <v>46076</v>
      </c>
      <c r="C3" s="1" t="s">
        <v>10</v>
      </c>
      <c r="D3" s="2">
        <v>0</v>
      </c>
      <c r="E3" s="1" t="s">
        <v>22</v>
      </c>
      <c r="F3" s="3" cm="1">
        <f t="array" ref="F3">_xlfn.IFS(C3="Tyler",21.5,C3="Jacob",22.5,C3="Michael",21.5)</f>
        <v>22.5</v>
      </c>
      <c r="G3" s="17">
        <f>D3*F3</f>
        <v>0</v>
      </c>
    </row>
    <row r="4" spans="1:7" ht="16.5" thickBot="1" x14ac:dyDescent="0.3">
      <c r="A4" s="16" t="s">
        <v>9</v>
      </c>
      <c r="B4" s="4">
        <f>B3+1</f>
        <v>46077</v>
      </c>
      <c r="C4" s="1" t="s">
        <v>10</v>
      </c>
      <c r="D4" s="2">
        <v>0</v>
      </c>
      <c r="E4" s="1" t="s">
        <v>22</v>
      </c>
      <c r="F4" s="3" cm="1">
        <f t="array" ref="F4">_xlfn.IFS(C4="Tyler",21.5,C4="Jacob",22.5,C4="Michael",21.5)</f>
        <v>22.5</v>
      </c>
      <c r="G4" s="17">
        <f t="shared" ref="G4:G7" si="0">D4*F4</f>
        <v>0</v>
      </c>
    </row>
    <row r="5" spans="1:7" ht="16.5" thickBot="1" x14ac:dyDescent="0.3">
      <c r="A5" s="16" t="s">
        <v>11</v>
      </c>
      <c r="B5" s="4">
        <f t="shared" ref="B5:B7" si="1">B4+1</f>
        <v>46078</v>
      </c>
      <c r="C5" s="1" t="s">
        <v>10</v>
      </c>
      <c r="D5" s="2">
        <v>0</v>
      </c>
      <c r="E5" s="1" t="s">
        <v>22</v>
      </c>
      <c r="F5" s="3" cm="1">
        <f t="array" ref="F5">_xlfn.IFS(C5="Tyler",21.5,C5="Jacob",22.5,C5="Michael",21.5)</f>
        <v>22.5</v>
      </c>
      <c r="G5" s="17">
        <f t="shared" si="0"/>
        <v>0</v>
      </c>
    </row>
    <row r="6" spans="1:7" ht="16.5" thickBot="1" x14ac:dyDescent="0.3">
      <c r="A6" s="16" t="s">
        <v>12</v>
      </c>
      <c r="B6" s="4">
        <f t="shared" si="1"/>
        <v>46079</v>
      </c>
      <c r="C6" s="1" t="s">
        <v>10</v>
      </c>
      <c r="D6" s="2">
        <v>1</v>
      </c>
      <c r="E6" s="1" t="s">
        <v>21</v>
      </c>
      <c r="F6" s="3" cm="1">
        <f t="array" ref="F6">_xlfn.IFS(C6="Tyler",21.5,C6="Jacob",22.5,C6="Michael",21.5)</f>
        <v>22.5</v>
      </c>
      <c r="G6" s="17">
        <f t="shared" si="0"/>
        <v>22.5</v>
      </c>
    </row>
    <row r="7" spans="1:7" ht="16.5" thickBot="1" x14ac:dyDescent="0.3">
      <c r="A7" s="18" t="s">
        <v>13</v>
      </c>
      <c r="B7" s="4">
        <f t="shared" si="1"/>
        <v>46080</v>
      </c>
      <c r="C7" s="1" t="s">
        <v>10</v>
      </c>
      <c r="D7" s="2">
        <v>4.5</v>
      </c>
      <c r="E7" s="1" t="s">
        <v>20</v>
      </c>
      <c r="F7" s="3" cm="1">
        <f t="array" ref="F7">_xlfn.IFS(C7="Tyler",21.5,C7="Jacob",22.5,C7="Michael",21.5)</f>
        <v>22.5</v>
      </c>
      <c r="G7" s="17">
        <f t="shared" si="0"/>
        <v>101.25</v>
      </c>
    </row>
    <row r="8" spans="1:7" ht="16.5" thickBot="1" x14ac:dyDescent="0.3">
      <c r="A8" s="19" t="s">
        <v>14</v>
      </c>
      <c r="B8" s="20"/>
      <c r="C8" s="21"/>
      <c r="D8" s="22">
        <f>SUM(D3:D7)</f>
        <v>5.5</v>
      </c>
      <c r="E8" s="23" t="s">
        <v>14</v>
      </c>
      <c r="F8" s="21"/>
      <c r="G8" s="24">
        <f>SUM(G3:G7)</f>
        <v>123.75</v>
      </c>
    </row>
    <row r="11" spans="1:7" ht="15.75" thickBot="1" x14ac:dyDescent="0.3"/>
    <row r="12" spans="1:7" ht="15" customHeight="1" x14ac:dyDescent="0.25">
      <c r="B12" s="33" t="s">
        <v>15</v>
      </c>
      <c r="C12" s="33" t="s">
        <v>16</v>
      </c>
    </row>
    <row r="13" spans="1:7" ht="15.75" customHeight="1" thickBot="1" x14ac:dyDescent="0.3">
      <c r="B13" s="34"/>
      <c r="C13" s="34"/>
    </row>
    <row r="14" spans="1:7" ht="15.6" customHeight="1" thickBot="1" x14ac:dyDescent="0.3">
      <c r="B14" s="32" t="s">
        <v>10</v>
      </c>
      <c r="C14" s="35">
        <f>SUMIF($C$3:$C$7, B14, $G$3:$G$7)</f>
        <v>123.75</v>
      </c>
    </row>
  </sheetData>
  <mergeCells count="4">
    <mergeCell ref="A8:C8"/>
    <mergeCell ref="E8:F8"/>
    <mergeCell ref="B12:B13"/>
    <mergeCell ref="C12:C13"/>
  </mergeCells>
  <dataValidations disablePrompts="1" count="1">
    <dataValidation type="list" allowBlank="1" showInputMessage="1" showErrorMessage="1" sqref="C3:C7 B14 B16" xr:uid="{2A66B323-0542-48F8-ABE4-3F22D8B3D958}">
      <formula1>"Tyler, Jacob, Michael"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4713E-19C8-4266-8C3A-9E1C49F0CE6E}">
  <sheetPr codeName="Sheet2"/>
  <dimension ref="A1:G14"/>
  <sheetViews>
    <sheetView workbookViewId="0">
      <selection activeCell="G8" sqref="A2:G8"/>
    </sheetView>
  </sheetViews>
  <sheetFormatPr defaultRowHeight="15" x14ac:dyDescent="0.25"/>
  <cols>
    <col min="1" max="1" width="14.7109375" customWidth="1"/>
    <col min="2" max="2" width="25.85546875" bestFit="1" customWidth="1"/>
    <col min="3" max="3" width="12.28515625" customWidth="1"/>
    <col min="4" max="4" width="18.28515625" customWidth="1"/>
    <col min="5" max="5" width="75.140625" customWidth="1"/>
    <col min="6" max="6" width="17.28515625" customWidth="1"/>
    <col min="7" max="7" width="21.28515625" customWidth="1"/>
  </cols>
  <sheetData>
    <row r="1" spans="1:7" ht="15.75" thickBot="1" x14ac:dyDescent="0.3">
      <c r="A1" s="5" t="s">
        <v>0</v>
      </c>
      <c r="B1" s="6">
        <v>46088</v>
      </c>
    </row>
    <row r="2" spans="1:7" ht="32.25" thickBot="1" x14ac:dyDescent="0.3">
      <c r="A2" s="13" t="s">
        <v>1</v>
      </c>
      <c r="B2" s="14" t="s">
        <v>2</v>
      </c>
      <c r="C2" s="14" t="s">
        <v>3</v>
      </c>
      <c r="D2" s="14" t="s">
        <v>4</v>
      </c>
      <c r="E2" s="14" t="s">
        <v>5</v>
      </c>
      <c r="F2" s="14" t="s">
        <v>6</v>
      </c>
      <c r="G2" s="15" t="s">
        <v>7</v>
      </c>
    </row>
    <row r="3" spans="1:7" ht="16.5" thickBot="1" x14ac:dyDescent="0.3">
      <c r="A3" s="16" t="s">
        <v>8</v>
      </c>
      <c r="B3" s="4">
        <f>B1-5</f>
        <v>46083</v>
      </c>
      <c r="C3" s="1" t="s">
        <v>10</v>
      </c>
      <c r="D3" s="2">
        <v>0</v>
      </c>
      <c r="E3" s="1" t="s">
        <v>22</v>
      </c>
      <c r="F3" s="3" cm="1">
        <f t="array" ref="F3">_xlfn.IFS(C3="Tyler",21.5,C3="Jacob",22.5,C3="Michael",21.5)</f>
        <v>22.5</v>
      </c>
      <c r="G3" s="17">
        <f>D3*F3</f>
        <v>0</v>
      </c>
    </row>
    <row r="4" spans="1:7" ht="16.5" thickBot="1" x14ac:dyDescent="0.3">
      <c r="A4" s="16" t="s">
        <v>9</v>
      </c>
      <c r="B4" s="4">
        <f>B3+1</f>
        <v>46084</v>
      </c>
      <c r="C4" s="1" t="s">
        <v>10</v>
      </c>
      <c r="D4" s="2">
        <v>0</v>
      </c>
      <c r="E4" s="1" t="s">
        <v>22</v>
      </c>
      <c r="F4" s="3" cm="1">
        <f t="array" ref="F4">_xlfn.IFS(C4="Tyler",21.5,C4="Jacob",22.5,C4="Michael",21.5)</f>
        <v>22.5</v>
      </c>
      <c r="G4" s="17">
        <f t="shared" ref="G4:G7" si="0">D4*F4</f>
        <v>0</v>
      </c>
    </row>
    <row r="5" spans="1:7" ht="16.5" thickBot="1" x14ac:dyDescent="0.3">
      <c r="A5" s="16" t="s">
        <v>11</v>
      </c>
      <c r="B5" s="4">
        <f>B4+1</f>
        <v>46085</v>
      </c>
      <c r="C5" s="1" t="s">
        <v>10</v>
      </c>
      <c r="D5" s="2">
        <v>0</v>
      </c>
      <c r="E5" s="1" t="s">
        <v>22</v>
      </c>
      <c r="F5" s="3" cm="1">
        <f t="array" ref="F5">_xlfn.IFS(C5="Tyler",21.5,C5="Jacob",22.5,C5="Michael",21.5)</f>
        <v>22.5</v>
      </c>
      <c r="G5" s="17">
        <f t="shared" si="0"/>
        <v>0</v>
      </c>
    </row>
    <row r="6" spans="1:7" ht="16.5" thickBot="1" x14ac:dyDescent="0.3">
      <c r="A6" s="16" t="s">
        <v>12</v>
      </c>
      <c r="B6" s="4">
        <f t="shared" ref="B6:B7" si="1">B5+1</f>
        <v>46086</v>
      </c>
      <c r="C6" s="1" t="s">
        <v>10</v>
      </c>
      <c r="D6" s="2">
        <v>0</v>
      </c>
      <c r="E6" s="1" t="s">
        <v>22</v>
      </c>
      <c r="F6" s="3" cm="1">
        <f t="array" ref="F6">_xlfn.IFS(C6="Tyler",21.5,C6="Jacob",22.5,C6="Michael",21.5)</f>
        <v>22.5</v>
      </c>
      <c r="G6" s="17">
        <f t="shared" si="0"/>
        <v>0</v>
      </c>
    </row>
    <row r="7" spans="1:7" ht="16.5" thickBot="1" x14ac:dyDescent="0.3">
      <c r="A7" s="18" t="s">
        <v>13</v>
      </c>
      <c r="B7" s="4">
        <f t="shared" si="1"/>
        <v>46087</v>
      </c>
      <c r="C7" s="1" t="s">
        <v>10</v>
      </c>
      <c r="D7" s="2">
        <v>4</v>
      </c>
      <c r="E7" s="1" t="s">
        <v>20</v>
      </c>
      <c r="F7" s="3" cm="1">
        <f t="array" ref="F7">_xlfn.IFS(C7="Tyler",21.5,C7="Jacob",22.5,C7="Michael",21.5)</f>
        <v>22.5</v>
      </c>
      <c r="G7" s="17">
        <f t="shared" si="0"/>
        <v>90</v>
      </c>
    </row>
    <row r="8" spans="1:7" ht="16.5" thickBot="1" x14ac:dyDescent="0.3">
      <c r="A8" s="19" t="s">
        <v>14</v>
      </c>
      <c r="B8" s="20"/>
      <c r="C8" s="21"/>
      <c r="D8" s="22">
        <f>SUM(D3:D7)</f>
        <v>4</v>
      </c>
      <c r="E8" s="23" t="s">
        <v>14</v>
      </c>
      <c r="F8" s="21"/>
      <c r="G8" s="24">
        <f>SUM(G3:G7)</f>
        <v>90</v>
      </c>
    </row>
    <row r="11" spans="1:7" ht="15.75" thickBot="1" x14ac:dyDescent="0.3"/>
    <row r="12" spans="1:7" ht="15" customHeight="1" x14ac:dyDescent="0.25">
      <c r="B12" s="33" t="s">
        <v>15</v>
      </c>
      <c r="C12" s="33" t="s">
        <v>16</v>
      </c>
    </row>
    <row r="13" spans="1:7" ht="15.75" thickBot="1" x14ac:dyDescent="0.3">
      <c r="B13" s="34"/>
      <c r="C13" s="34"/>
    </row>
    <row r="14" spans="1:7" ht="15.6" customHeight="1" thickBot="1" x14ac:dyDescent="0.3">
      <c r="B14" s="32" t="s">
        <v>10</v>
      </c>
      <c r="C14" s="35">
        <f>SUMIF($C$3:$C$7, B14, $G$3:$G$7)</f>
        <v>90</v>
      </c>
    </row>
  </sheetData>
  <mergeCells count="4">
    <mergeCell ref="A8:C8"/>
    <mergeCell ref="E8:F8"/>
    <mergeCell ref="B12:B13"/>
    <mergeCell ref="C12:C13"/>
  </mergeCells>
  <dataValidations count="1">
    <dataValidation type="list" allowBlank="1" showInputMessage="1" showErrorMessage="1" sqref="C3:C7 B14 B16" xr:uid="{1AC5D6D2-9C57-4C80-BBA4-086E52EB2ED7}">
      <formula1>"Tyler, Jacob, Michael"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27A00-6C6F-4B1F-9B08-417A5827F756}">
  <sheetPr codeName="Sheet3"/>
  <dimension ref="A1:G14"/>
  <sheetViews>
    <sheetView workbookViewId="0">
      <selection activeCell="C12" activeCellId="1" sqref="B12:B13 C12:C13"/>
    </sheetView>
  </sheetViews>
  <sheetFormatPr defaultRowHeight="15" x14ac:dyDescent="0.25"/>
  <cols>
    <col min="1" max="1" width="14.7109375" customWidth="1"/>
    <col min="2" max="2" width="25.85546875" bestFit="1" customWidth="1"/>
    <col min="3" max="3" width="12.28515625" customWidth="1"/>
    <col min="4" max="4" width="18.28515625" customWidth="1"/>
    <col min="5" max="5" width="75.140625" customWidth="1"/>
    <col min="6" max="6" width="17.28515625" customWidth="1"/>
    <col min="7" max="7" width="21.28515625" customWidth="1"/>
  </cols>
  <sheetData>
    <row r="1" spans="1:7" ht="15.75" thickBot="1" x14ac:dyDescent="0.3">
      <c r="A1" s="5" t="s">
        <v>0</v>
      </c>
      <c r="B1" s="6">
        <v>46095</v>
      </c>
    </row>
    <row r="2" spans="1:7" ht="32.25" thickBot="1" x14ac:dyDescent="0.3">
      <c r="A2" s="13" t="s">
        <v>1</v>
      </c>
      <c r="B2" s="14" t="s">
        <v>2</v>
      </c>
      <c r="C2" s="14" t="s">
        <v>3</v>
      </c>
      <c r="D2" s="14" t="s">
        <v>4</v>
      </c>
      <c r="E2" s="14" t="s">
        <v>5</v>
      </c>
      <c r="F2" s="14" t="s">
        <v>6</v>
      </c>
      <c r="G2" s="15" t="s">
        <v>7</v>
      </c>
    </row>
    <row r="3" spans="1:7" ht="16.5" thickBot="1" x14ac:dyDescent="0.3">
      <c r="A3" s="16" t="s">
        <v>8</v>
      </c>
      <c r="B3" s="4">
        <f>B1-5</f>
        <v>46090</v>
      </c>
      <c r="C3" s="1" t="s">
        <v>10</v>
      </c>
      <c r="D3" s="2">
        <v>0</v>
      </c>
      <c r="E3" s="1" t="s">
        <v>22</v>
      </c>
      <c r="F3" s="3" cm="1">
        <f t="array" ref="F3">_xlfn.IFS(C3="Tyler",21.5,C3="Jacob",22.5,C3="Michael",21.5)</f>
        <v>22.5</v>
      </c>
      <c r="G3" s="17">
        <f>D3*F3</f>
        <v>0</v>
      </c>
    </row>
    <row r="4" spans="1:7" ht="16.5" thickBot="1" x14ac:dyDescent="0.3">
      <c r="A4" s="16" t="s">
        <v>9</v>
      </c>
      <c r="B4" s="4">
        <f>B3+1</f>
        <v>46091</v>
      </c>
      <c r="C4" s="1" t="s">
        <v>10</v>
      </c>
      <c r="D4" s="2">
        <v>0</v>
      </c>
      <c r="E4" s="1" t="s">
        <v>22</v>
      </c>
      <c r="F4" s="3" cm="1">
        <f t="array" ref="F4">_xlfn.IFS(C4="Tyler",21.5,C4="Jacob",22.5,C4="Michael",21.5)</f>
        <v>22.5</v>
      </c>
      <c r="G4" s="17">
        <f t="shared" ref="G4:G7" si="0">D4*F4</f>
        <v>0</v>
      </c>
    </row>
    <row r="5" spans="1:7" ht="16.5" thickBot="1" x14ac:dyDescent="0.3">
      <c r="A5" s="16" t="s">
        <v>11</v>
      </c>
      <c r="B5" s="4">
        <f>B4+1</f>
        <v>46092</v>
      </c>
      <c r="C5" s="1" t="s">
        <v>10</v>
      </c>
      <c r="D5" s="2">
        <v>1</v>
      </c>
      <c r="E5" s="1" t="s">
        <v>23</v>
      </c>
      <c r="F5" s="3" cm="1">
        <f t="array" ref="F5">_xlfn.IFS(C5="Tyler",21.5,C5="Jacob",22.5,C5="Michael",21.5)</f>
        <v>22.5</v>
      </c>
      <c r="G5" s="17">
        <f t="shared" si="0"/>
        <v>22.5</v>
      </c>
    </row>
    <row r="6" spans="1:7" ht="16.5" thickBot="1" x14ac:dyDescent="0.3">
      <c r="A6" s="16" t="s">
        <v>12</v>
      </c>
      <c r="B6" s="4">
        <f t="shared" ref="B6:B7" si="1">B5+1</f>
        <v>46093</v>
      </c>
      <c r="C6" s="1" t="s">
        <v>10</v>
      </c>
      <c r="D6" s="2">
        <v>1.5</v>
      </c>
      <c r="E6" s="1" t="s">
        <v>24</v>
      </c>
      <c r="F6" s="3" cm="1">
        <f t="array" ref="F6">_xlfn.IFS(C6="Tyler",21.5,C6="Jacob",22.5,C6="Michael",21.5)</f>
        <v>22.5</v>
      </c>
      <c r="G6" s="17">
        <f t="shared" si="0"/>
        <v>33.75</v>
      </c>
    </row>
    <row r="7" spans="1:7" ht="16.5" thickBot="1" x14ac:dyDescent="0.3">
      <c r="A7" s="18" t="s">
        <v>13</v>
      </c>
      <c r="B7" s="4">
        <f t="shared" si="1"/>
        <v>46094</v>
      </c>
      <c r="C7" s="1" t="s">
        <v>10</v>
      </c>
      <c r="D7" s="2">
        <v>4</v>
      </c>
      <c r="E7" s="1" t="s">
        <v>20</v>
      </c>
      <c r="F7" s="3" cm="1">
        <f t="array" ref="F7">_xlfn.IFS(C7="Tyler",21.5,C7="Jacob",22.5,C7="Michael",21.5)</f>
        <v>22.5</v>
      </c>
      <c r="G7" s="17">
        <f t="shared" si="0"/>
        <v>90</v>
      </c>
    </row>
    <row r="8" spans="1:7" ht="16.5" thickBot="1" x14ac:dyDescent="0.3">
      <c r="A8" s="19" t="s">
        <v>14</v>
      </c>
      <c r="B8" s="20"/>
      <c r="C8" s="21"/>
      <c r="D8" s="22">
        <f>SUM(D3:D7)</f>
        <v>6.5</v>
      </c>
      <c r="E8" s="23" t="s">
        <v>14</v>
      </c>
      <c r="F8" s="21"/>
      <c r="G8" s="24">
        <f>SUM(G3:G7)</f>
        <v>146.25</v>
      </c>
    </row>
    <row r="11" spans="1:7" ht="15.75" thickBot="1" x14ac:dyDescent="0.3"/>
    <row r="12" spans="1:7" ht="15" customHeight="1" x14ac:dyDescent="0.25">
      <c r="B12" s="28" t="s">
        <v>15</v>
      </c>
      <c r="C12" s="30" t="s">
        <v>16</v>
      </c>
    </row>
    <row r="13" spans="1:7" ht="15.75" thickBot="1" x14ac:dyDescent="0.3">
      <c r="B13" s="29"/>
      <c r="C13" s="31"/>
    </row>
    <row r="14" spans="1:7" ht="15.6" customHeight="1" thickBot="1" x14ac:dyDescent="0.3">
      <c r="B14" s="25" t="s">
        <v>10</v>
      </c>
      <c r="C14" s="12">
        <f>SUMIF($C$3:$C$7, B14, $G$3:$G$7)</f>
        <v>146.25</v>
      </c>
    </row>
  </sheetData>
  <mergeCells count="4">
    <mergeCell ref="A8:C8"/>
    <mergeCell ref="E8:F8"/>
    <mergeCell ref="B12:B13"/>
    <mergeCell ref="C12:C13"/>
  </mergeCells>
  <dataValidations disablePrompts="1" count="1">
    <dataValidation type="list" allowBlank="1" showInputMessage="1" showErrorMessage="1" sqref="C3:C7 B14 B16" xr:uid="{4D422E16-E3B6-42D5-94BF-B150B55E12DC}">
      <formula1>"Tyler, Jacob, Michael"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DE4C3-88D1-4F10-8F70-4D47F58DA658}">
  <sheetPr codeName="Sheet5"/>
  <dimension ref="A1:G14"/>
  <sheetViews>
    <sheetView workbookViewId="0">
      <selection activeCell="E15" sqref="E15"/>
    </sheetView>
  </sheetViews>
  <sheetFormatPr defaultRowHeight="15" x14ac:dyDescent="0.25"/>
  <cols>
    <col min="1" max="1" width="14.7109375" customWidth="1"/>
    <col min="2" max="2" width="25.85546875" bestFit="1" customWidth="1"/>
    <col min="3" max="3" width="12.28515625" customWidth="1"/>
    <col min="4" max="4" width="18.28515625" customWidth="1"/>
    <col min="5" max="5" width="75.140625" customWidth="1"/>
    <col min="6" max="6" width="17.28515625" customWidth="1"/>
    <col min="7" max="7" width="21.28515625" customWidth="1"/>
  </cols>
  <sheetData>
    <row r="1" spans="1:7" ht="15.75" thickBot="1" x14ac:dyDescent="0.3">
      <c r="A1" s="5" t="s">
        <v>0</v>
      </c>
      <c r="B1" s="6">
        <v>46102</v>
      </c>
    </row>
    <row r="2" spans="1:7" ht="32.25" thickBot="1" x14ac:dyDescent="0.3">
      <c r="A2" s="13" t="s">
        <v>1</v>
      </c>
      <c r="B2" s="14" t="s">
        <v>2</v>
      </c>
      <c r="C2" s="14" t="s">
        <v>3</v>
      </c>
      <c r="D2" s="14" t="s">
        <v>4</v>
      </c>
      <c r="E2" s="14" t="s">
        <v>5</v>
      </c>
      <c r="F2" s="14" t="s">
        <v>6</v>
      </c>
      <c r="G2" s="15" t="s">
        <v>7</v>
      </c>
    </row>
    <row r="3" spans="1:7" ht="16.5" thickBot="1" x14ac:dyDescent="0.3">
      <c r="A3" s="16" t="s">
        <v>8</v>
      </c>
      <c r="B3" s="4">
        <f>B1-5</f>
        <v>46097</v>
      </c>
      <c r="C3" s="1" t="s">
        <v>10</v>
      </c>
      <c r="D3" s="2">
        <v>0</v>
      </c>
      <c r="E3" s="1" t="s">
        <v>22</v>
      </c>
      <c r="F3" s="3" cm="1">
        <f t="array" ref="F3">_xlfn.IFS(C3="Tyler",21.5,C3="Jacob",22.5,C3="Michael",21.5)</f>
        <v>22.5</v>
      </c>
      <c r="G3" s="17">
        <f>D3*F3</f>
        <v>0</v>
      </c>
    </row>
    <row r="4" spans="1:7" ht="16.5" thickBot="1" x14ac:dyDescent="0.3">
      <c r="A4" s="16" t="s">
        <v>9</v>
      </c>
      <c r="B4" s="4">
        <f>B3+1</f>
        <v>46098</v>
      </c>
      <c r="C4" s="1" t="s">
        <v>10</v>
      </c>
      <c r="D4" s="2">
        <v>0</v>
      </c>
      <c r="E4" s="1" t="s">
        <v>22</v>
      </c>
      <c r="F4" s="3" cm="1">
        <f t="array" ref="F4">_xlfn.IFS(C4="Tyler",21.5,C4="Jacob",22.5,C4="Michael",21.5)</f>
        <v>22.5</v>
      </c>
      <c r="G4" s="17">
        <f t="shared" ref="G4:G7" si="0">D4*F4</f>
        <v>0</v>
      </c>
    </row>
    <row r="5" spans="1:7" ht="16.5" thickBot="1" x14ac:dyDescent="0.3">
      <c r="A5" s="16" t="s">
        <v>11</v>
      </c>
      <c r="B5" s="4">
        <f>B4+1</f>
        <v>46099</v>
      </c>
      <c r="C5" s="1" t="s">
        <v>10</v>
      </c>
      <c r="D5" s="2">
        <v>0.5</v>
      </c>
      <c r="E5" s="1" t="s">
        <v>25</v>
      </c>
      <c r="F5" s="3" cm="1">
        <f t="array" ref="F5">_xlfn.IFS(C5="Tyler",21.5,C5="Jacob",22.5,C5="Michael",21.5)</f>
        <v>22.5</v>
      </c>
      <c r="G5" s="17">
        <f t="shared" si="0"/>
        <v>11.25</v>
      </c>
    </row>
    <row r="6" spans="1:7" ht="16.5" thickBot="1" x14ac:dyDescent="0.3">
      <c r="A6" s="16" t="s">
        <v>12</v>
      </c>
      <c r="B6" s="4">
        <f t="shared" ref="B6:B7" si="1">B5+1</f>
        <v>46100</v>
      </c>
      <c r="C6" s="1" t="s">
        <v>10</v>
      </c>
      <c r="D6" s="2">
        <v>1</v>
      </c>
      <c r="E6" s="1" t="s">
        <v>26</v>
      </c>
      <c r="F6" s="3" cm="1">
        <f t="array" ref="F6">_xlfn.IFS(C6="Tyler",21.5,C6="Jacob",22.5,C6="Michael",21.5)</f>
        <v>22.5</v>
      </c>
      <c r="G6" s="17">
        <f t="shared" si="0"/>
        <v>22.5</v>
      </c>
    </row>
    <row r="7" spans="1:7" ht="16.5" thickBot="1" x14ac:dyDescent="0.3">
      <c r="A7" s="18" t="s">
        <v>13</v>
      </c>
      <c r="B7" s="4">
        <f t="shared" si="1"/>
        <v>46101</v>
      </c>
      <c r="C7" s="1" t="s">
        <v>10</v>
      </c>
      <c r="D7" s="2">
        <v>4</v>
      </c>
      <c r="E7" s="1" t="s">
        <v>20</v>
      </c>
      <c r="F7" s="3" cm="1">
        <f t="array" ref="F7">_xlfn.IFS(C7="Tyler",21.5,C7="Jacob",22.5,C7="Michael",21.5)</f>
        <v>22.5</v>
      </c>
      <c r="G7" s="17">
        <f t="shared" si="0"/>
        <v>90</v>
      </c>
    </row>
    <row r="8" spans="1:7" ht="16.5" thickBot="1" x14ac:dyDescent="0.3">
      <c r="A8" s="19" t="s">
        <v>14</v>
      </c>
      <c r="B8" s="20"/>
      <c r="C8" s="21"/>
      <c r="D8" s="22">
        <f>SUM(D3:D7)</f>
        <v>5.5</v>
      </c>
      <c r="E8" s="23" t="s">
        <v>14</v>
      </c>
      <c r="F8" s="21"/>
      <c r="G8" s="24">
        <f>SUM(G3:G7)</f>
        <v>123.75</v>
      </c>
    </row>
    <row r="11" spans="1:7" ht="15.75" thickBot="1" x14ac:dyDescent="0.3"/>
    <row r="12" spans="1:7" ht="15" customHeight="1" x14ac:dyDescent="0.25">
      <c r="B12" s="28" t="s">
        <v>15</v>
      </c>
      <c r="C12" s="30" t="s">
        <v>16</v>
      </c>
    </row>
    <row r="13" spans="1:7" ht="15.75" thickBot="1" x14ac:dyDescent="0.3">
      <c r="B13" s="29"/>
      <c r="C13" s="31"/>
    </row>
    <row r="14" spans="1:7" ht="15.6" customHeight="1" thickBot="1" x14ac:dyDescent="0.3">
      <c r="B14" s="25" t="s">
        <v>10</v>
      </c>
      <c r="C14" s="12">
        <f>SUMIF($C$3:$C$7, B14, $G$3:$G$7)</f>
        <v>123.75</v>
      </c>
    </row>
  </sheetData>
  <mergeCells count="4">
    <mergeCell ref="A8:C8"/>
    <mergeCell ref="E8:F8"/>
    <mergeCell ref="B12:B13"/>
    <mergeCell ref="C12:C13"/>
  </mergeCells>
  <dataValidations count="1">
    <dataValidation type="list" allowBlank="1" showInputMessage="1" showErrorMessage="1" sqref="C3:C7 B14 B16" xr:uid="{6A210180-82E8-4B7C-A45C-7B4BD274B8AE}">
      <formula1>"Tyler, Jacob, Michael"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F239B-2B41-4733-9B9D-FA223F9073C8}">
  <dimension ref="A1:G16"/>
  <sheetViews>
    <sheetView workbookViewId="0">
      <selection activeCell="E28" sqref="E28"/>
    </sheetView>
  </sheetViews>
  <sheetFormatPr defaultRowHeight="15" x14ac:dyDescent="0.25"/>
  <cols>
    <col min="1" max="1" width="14.7109375" customWidth="1"/>
    <col min="2" max="2" width="25.85546875" bestFit="1" customWidth="1"/>
    <col min="3" max="3" width="12.28515625" customWidth="1"/>
    <col min="4" max="4" width="18.28515625" customWidth="1"/>
    <col min="5" max="5" width="75.140625" customWidth="1"/>
    <col min="6" max="6" width="17.28515625" customWidth="1"/>
    <col min="7" max="7" width="21.28515625" customWidth="1"/>
  </cols>
  <sheetData>
    <row r="1" spans="1:7" ht="15.75" thickBot="1" x14ac:dyDescent="0.3">
      <c r="A1" s="5" t="s">
        <v>0</v>
      </c>
      <c r="B1" s="6">
        <v>46109</v>
      </c>
    </row>
    <row r="2" spans="1:7" ht="32.25" thickBot="1" x14ac:dyDescent="0.3">
      <c r="A2" s="13" t="s">
        <v>1</v>
      </c>
      <c r="B2" s="14" t="s">
        <v>2</v>
      </c>
      <c r="C2" s="14" t="s">
        <v>3</v>
      </c>
      <c r="D2" s="14" t="s">
        <v>4</v>
      </c>
      <c r="E2" s="14" t="s">
        <v>5</v>
      </c>
      <c r="F2" s="14" t="s">
        <v>6</v>
      </c>
      <c r="G2" s="15" t="s">
        <v>7</v>
      </c>
    </row>
    <row r="3" spans="1:7" ht="16.5" thickBot="1" x14ac:dyDescent="0.3">
      <c r="A3" s="16" t="s">
        <v>8</v>
      </c>
      <c r="B3" s="4">
        <f>B1-5</f>
        <v>46104</v>
      </c>
      <c r="C3" s="1" t="s">
        <v>10</v>
      </c>
      <c r="D3" s="2">
        <v>0</v>
      </c>
      <c r="E3" s="1" t="s">
        <v>22</v>
      </c>
      <c r="F3" s="3" cm="1">
        <f t="array" ref="F3">_xlfn.IFS(C3="Tyler",21.5,C3="Jacob",22.5,C3="Michael",21.5)</f>
        <v>22.5</v>
      </c>
      <c r="G3" s="17">
        <f>D3*F3</f>
        <v>0</v>
      </c>
    </row>
    <row r="4" spans="1:7" ht="16.5" thickBot="1" x14ac:dyDescent="0.3">
      <c r="A4" s="16" t="s">
        <v>9</v>
      </c>
      <c r="B4" s="4">
        <f>B3+1</f>
        <v>46105</v>
      </c>
      <c r="C4" s="1" t="s">
        <v>10</v>
      </c>
      <c r="D4" s="2">
        <v>0</v>
      </c>
      <c r="E4" s="1" t="s">
        <v>22</v>
      </c>
      <c r="F4" s="3" cm="1">
        <f t="array" ref="F4">_xlfn.IFS(C4="Tyler",21.5,C4="Jacob",22.5,C4="Michael",21.5)</f>
        <v>22.5</v>
      </c>
      <c r="G4" s="17">
        <f t="shared" ref="G4:G9" si="0">D4*F4</f>
        <v>0</v>
      </c>
    </row>
    <row r="5" spans="1:7" ht="16.5" thickBot="1" x14ac:dyDescent="0.3">
      <c r="A5" s="16" t="s">
        <v>11</v>
      </c>
      <c r="B5" s="4">
        <f>B4+1</f>
        <v>46106</v>
      </c>
      <c r="C5" s="1" t="s">
        <v>10</v>
      </c>
      <c r="D5" s="2">
        <v>0.5</v>
      </c>
      <c r="E5" s="1" t="s">
        <v>27</v>
      </c>
      <c r="F5" s="3" cm="1">
        <f t="array" ref="F5">_xlfn.IFS(C5="Tyler",21.5,C5="Jacob",22.5,C5="Michael",21.5)</f>
        <v>22.5</v>
      </c>
      <c r="G5" s="17">
        <f t="shared" si="0"/>
        <v>11.25</v>
      </c>
    </row>
    <row r="6" spans="1:7" ht="16.5" thickBot="1" x14ac:dyDescent="0.3">
      <c r="A6" s="16" t="s">
        <v>12</v>
      </c>
      <c r="B6" s="4">
        <f t="shared" ref="B6" si="1">B5+1</f>
        <v>46107</v>
      </c>
      <c r="C6" s="1" t="s">
        <v>10</v>
      </c>
      <c r="D6" s="2">
        <v>1</v>
      </c>
      <c r="E6" s="1" t="s">
        <v>28</v>
      </c>
      <c r="F6" s="3" cm="1">
        <f t="array" ref="F6">_xlfn.IFS(C6="Tyler",21.5,C6="Jacob",22.5,C6="Michael",21.5)</f>
        <v>22.5</v>
      </c>
      <c r="G6" s="17">
        <f t="shared" si="0"/>
        <v>22.5</v>
      </c>
    </row>
    <row r="7" spans="1:7" ht="16.5" thickBot="1" x14ac:dyDescent="0.3">
      <c r="A7" s="16" t="s">
        <v>13</v>
      </c>
      <c r="B7" s="4">
        <f>B8</f>
        <v>46108</v>
      </c>
      <c r="C7" s="1" t="s">
        <v>10</v>
      </c>
      <c r="D7" s="2">
        <v>4</v>
      </c>
      <c r="E7" s="1" t="s">
        <v>29</v>
      </c>
      <c r="F7" s="3" cm="1">
        <f t="array" ref="F7">_xlfn.IFS(C7="Tyler",21.5,C7="Jacob",22.5,C7="Michael",21.5)</f>
        <v>22.5</v>
      </c>
      <c r="G7" s="17">
        <f t="shared" si="0"/>
        <v>90</v>
      </c>
    </row>
    <row r="8" spans="1:7" ht="32.25" thickBot="1" x14ac:dyDescent="0.3">
      <c r="A8" s="18" t="s">
        <v>13</v>
      </c>
      <c r="B8" s="4">
        <f>B6+1</f>
        <v>46108</v>
      </c>
      <c r="C8" s="1" t="s">
        <v>10</v>
      </c>
      <c r="D8" s="2">
        <v>3</v>
      </c>
      <c r="E8" s="1" t="s">
        <v>30</v>
      </c>
      <c r="F8" s="3" cm="1">
        <f t="array" ref="F8">_xlfn.IFS(C8="Tyler",21.5,C8="Jacob",22.5,C8="Michael",21.5)</f>
        <v>22.5</v>
      </c>
      <c r="G8" s="17">
        <f t="shared" ref="G8" si="2">D8*F8</f>
        <v>67.5</v>
      </c>
    </row>
    <row r="9" spans="1:7" ht="32.25" thickBot="1" x14ac:dyDescent="0.3">
      <c r="A9" s="18" t="s">
        <v>31</v>
      </c>
      <c r="B9" s="4">
        <f>B7+1</f>
        <v>46109</v>
      </c>
      <c r="C9" s="1" t="s">
        <v>10</v>
      </c>
      <c r="D9" s="2">
        <v>6</v>
      </c>
      <c r="E9" s="1" t="s">
        <v>32</v>
      </c>
      <c r="F9" s="3" cm="1">
        <f t="array" ref="F9">_xlfn.IFS(C9="Tyler",21.5,C9="Jacob",22.5,C9="Michael",21.5)</f>
        <v>22.5</v>
      </c>
      <c r="G9" s="17">
        <f t="shared" si="0"/>
        <v>135</v>
      </c>
    </row>
    <row r="10" spans="1:7" ht="16.5" thickBot="1" x14ac:dyDescent="0.3">
      <c r="A10" s="19" t="s">
        <v>14</v>
      </c>
      <c r="B10" s="20"/>
      <c r="C10" s="21"/>
      <c r="D10" s="22">
        <f>SUM(D3:D9)</f>
        <v>14.5</v>
      </c>
      <c r="E10" s="23" t="s">
        <v>14</v>
      </c>
      <c r="F10" s="21"/>
      <c r="G10" s="24">
        <f>SUM(G3:G9)</f>
        <v>326.25</v>
      </c>
    </row>
    <row r="13" spans="1:7" ht="15.75" thickBot="1" x14ac:dyDescent="0.3"/>
    <row r="14" spans="1:7" ht="15" customHeight="1" x14ac:dyDescent="0.25">
      <c r="B14" s="28" t="s">
        <v>15</v>
      </c>
      <c r="C14" s="30" t="s">
        <v>16</v>
      </c>
    </row>
    <row r="15" spans="1:7" ht="15.75" thickBot="1" x14ac:dyDescent="0.3">
      <c r="B15" s="29"/>
      <c r="C15" s="31"/>
    </row>
    <row r="16" spans="1:7" ht="15.6" customHeight="1" thickBot="1" x14ac:dyDescent="0.3">
      <c r="B16" s="25" t="s">
        <v>10</v>
      </c>
      <c r="C16" s="12">
        <f>SUMIF($C$3:$C$9, B16, $G$3:$G$9)</f>
        <v>326.25</v>
      </c>
    </row>
  </sheetData>
  <mergeCells count="4">
    <mergeCell ref="A10:C10"/>
    <mergeCell ref="E10:F10"/>
    <mergeCell ref="B14:B15"/>
    <mergeCell ref="C14:C15"/>
  </mergeCells>
  <dataValidations disablePrompts="1" count="1">
    <dataValidation type="list" allowBlank="1" showInputMessage="1" showErrorMessage="1" sqref="B18 B16 C3:C9" xr:uid="{C07E0B11-78BE-4C78-9673-B56EC24F46CB}">
      <formula1>"Tyler, Jacob, Michael"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74849-F889-4BF3-AED7-3A10DB7B7797}">
  <dimension ref="A1:G15"/>
  <sheetViews>
    <sheetView workbookViewId="0">
      <selection activeCell="C16" sqref="C16"/>
    </sheetView>
  </sheetViews>
  <sheetFormatPr defaultRowHeight="15" x14ac:dyDescent="0.25"/>
  <cols>
    <col min="1" max="1" width="14.7109375" customWidth="1"/>
    <col min="2" max="2" width="25.85546875" bestFit="1" customWidth="1"/>
    <col min="3" max="3" width="12.28515625" customWidth="1"/>
    <col min="4" max="4" width="18.28515625" customWidth="1"/>
    <col min="5" max="5" width="75.140625" customWidth="1"/>
    <col min="6" max="6" width="17.28515625" customWidth="1"/>
    <col min="7" max="7" width="21.28515625" customWidth="1"/>
  </cols>
  <sheetData>
    <row r="1" spans="1:7" ht="15.75" thickBot="1" x14ac:dyDescent="0.3">
      <c r="A1" s="5" t="s">
        <v>0</v>
      </c>
      <c r="B1" s="6">
        <v>46116</v>
      </c>
    </row>
    <row r="2" spans="1:7" ht="32.25" thickBot="1" x14ac:dyDescent="0.3">
      <c r="A2" s="13" t="s">
        <v>1</v>
      </c>
      <c r="B2" s="14" t="s">
        <v>2</v>
      </c>
      <c r="C2" s="14" t="s">
        <v>3</v>
      </c>
      <c r="D2" s="14" t="s">
        <v>4</v>
      </c>
      <c r="E2" s="14" t="s">
        <v>5</v>
      </c>
      <c r="F2" s="14" t="s">
        <v>6</v>
      </c>
      <c r="G2" s="15" t="s">
        <v>7</v>
      </c>
    </row>
    <row r="3" spans="1:7" ht="16.5" thickBot="1" x14ac:dyDescent="0.3">
      <c r="A3" s="36" t="s">
        <v>35</v>
      </c>
      <c r="B3" s="4">
        <f>B4-1</f>
        <v>46110</v>
      </c>
      <c r="C3" s="1" t="s">
        <v>10</v>
      </c>
      <c r="D3" s="2">
        <v>3</v>
      </c>
      <c r="E3" s="1" t="s">
        <v>36</v>
      </c>
      <c r="F3" s="3" cm="1">
        <f t="array" ref="F3">_xlfn.IFS(C3="Tyler",21.5,C3="Jacob",22.5,C3="Michael",21.5)</f>
        <v>22.5</v>
      </c>
      <c r="G3" s="17">
        <f>D3*F3</f>
        <v>67.5</v>
      </c>
    </row>
    <row r="4" spans="1:7" ht="16.5" thickBot="1" x14ac:dyDescent="0.3">
      <c r="A4" s="16" t="s">
        <v>8</v>
      </c>
      <c r="B4" s="4">
        <f>B1-5</f>
        <v>46111</v>
      </c>
      <c r="C4" s="1" t="s">
        <v>10</v>
      </c>
      <c r="D4" s="2">
        <v>2</v>
      </c>
      <c r="E4" s="1" t="s">
        <v>34</v>
      </c>
      <c r="F4" s="3" cm="1">
        <f t="array" ref="F4">_xlfn.IFS(C4="Tyler",21.5,C4="Jacob",22.5,C4="Michael",21.5)</f>
        <v>22.5</v>
      </c>
      <c r="G4" s="17">
        <f>D4*F4</f>
        <v>45</v>
      </c>
    </row>
    <row r="5" spans="1:7" ht="16.5" thickBot="1" x14ac:dyDescent="0.3">
      <c r="A5" s="16" t="s">
        <v>9</v>
      </c>
      <c r="B5" s="4">
        <f>B4+1</f>
        <v>46112</v>
      </c>
      <c r="C5" s="1" t="s">
        <v>10</v>
      </c>
      <c r="D5" s="2">
        <v>0.5</v>
      </c>
      <c r="E5" s="1" t="s">
        <v>33</v>
      </c>
      <c r="F5" s="3" cm="1">
        <f t="array" ref="F5">_xlfn.IFS(C5="Tyler",21.5,C5="Jacob",22.5,C5="Michael",21.5)</f>
        <v>22.5</v>
      </c>
      <c r="G5" s="17">
        <f t="shared" ref="G5:G8" si="0">D5*F5</f>
        <v>11.25</v>
      </c>
    </row>
    <row r="6" spans="1:7" ht="16.5" thickBot="1" x14ac:dyDescent="0.3">
      <c r="A6" s="16" t="s">
        <v>11</v>
      </c>
      <c r="B6" s="4">
        <f>B5+1</f>
        <v>46113</v>
      </c>
      <c r="C6" s="1" t="s">
        <v>10</v>
      </c>
      <c r="D6" s="2">
        <v>0</v>
      </c>
      <c r="E6" s="1" t="s">
        <v>22</v>
      </c>
      <c r="F6" s="3" cm="1">
        <f t="array" ref="F6">_xlfn.IFS(C6="Tyler",21.5,C6="Jacob",22.5,C6="Michael",21.5)</f>
        <v>22.5</v>
      </c>
      <c r="G6" s="17">
        <f t="shared" si="0"/>
        <v>0</v>
      </c>
    </row>
    <row r="7" spans="1:7" ht="16.5" thickBot="1" x14ac:dyDescent="0.3">
      <c r="A7" s="16" t="s">
        <v>12</v>
      </c>
      <c r="B7" s="4">
        <f t="shared" ref="B7:B8" si="1">B6+1</f>
        <v>46114</v>
      </c>
      <c r="C7" s="1" t="s">
        <v>10</v>
      </c>
      <c r="D7" s="2">
        <v>0</v>
      </c>
      <c r="E7" s="1" t="s">
        <v>22</v>
      </c>
      <c r="F7" s="3" cm="1">
        <f t="array" ref="F7">_xlfn.IFS(C7="Tyler",21.5,C7="Jacob",22.5,C7="Michael",21.5)</f>
        <v>22.5</v>
      </c>
      <c r="G7" s="17">
        <f t="shared" si="0"/>
        <v>0</v>
      </c>
    </row>
    <row r="8" spans="1:7" ht="16.5" thickBot="1" x14ac:dyDescent="0.3">
      <c r="A8" s="16" t="s">
        <v>13</v>
      </c>
      <c r="B8" s="4">
        <f t="shared" si="1"/>
        <v>46115</v>
      </c>
      <c r="C8" s="1" t="s">
        <v>10</v>
      </c>
      <c r="D8" s="2">
        <v>0</v>
      </c>
      <c r="E8" s="1" t="s">
        <v>22</v>
      </c>
      <c r="F8" s="3" cm="1">
        <f t="array" ref="F8">_xlfn.IFS(C8="Tyler",21.5,C8="Jacob",22.5,C8="Michael",21.5)</f>
        <v>22.5</v>
      </c>
      <c r="G8" s="17">
        <f t="shared" si="0"/>
        <v>0</v>
      </c>
    </row>
    <row r="9" spans="1:7" ht="16.5" thickBot="1" x14ac:dyDescent="0.3">
      <c r="A9" s="19" t="s">
        <v>14</v>
      </c>
      <c r="B9" s="20"/>
      <c r="C9" s="21"/>
      <c r="D9" s="22">
        <f>SUM(D3:D8)</f>
        <v>5.5</v>
      </c>
      <c r="E9" s="23" t="s">
        <v>14</v>
      </c>
      <c r="F9" s="21"/>
      <c r="G9" s="24">
        <f>SUM(G3:G8)</f>
        <v>123.75</v>
      </c>
    </row>
    <row r="12" spans="1:7" ht="15.75" thickBot="1" x14ac:dyDescent="0.3"/>
    <row r="13" spans="1:7" x14ac:dyDescent="0.25">
      <c r="B13" s="28" t="s">
        <v>15</v>
      </c>
      <c r="C13" s="26" t="s">
        <v>16</v>
      </c>
    </row>
    <row r="14" spans="1:7" ht="15.75" thickBot="1" x14ac:dyDescent="0.3">
      <c r="B14" s="29"/>
      <c r="C14" s="27"/>
    </row>
    <row r="15" spans="1:7" ht="15.6" customHeight="1" thickBot="1" x14ac:dyDescent="0.3">
      <c r="B15" s="25" t="s">
        <v>10</v>
      </c>
      <c r="C15" s="12">
        <f>SUMIF($C$3:$C$8, B15, $G$3:$G$8)</f>
        <v>123.75</v>
      </c>
    </row>
  </sheetData>
  <mergeCells count="4">
    <mergeCell ref="A9:C9"/>
    <mergeCell ref="E9:F9"/>
    <mergeCell ref="B13:B14"/>
    <mergeCell ref="C13:C14"/>
  </mergeCells>
  <dataValidations disablePrompts="1" count="1">
    <dataValidation type="list" allowBlank="1" showInputMessage="1" showErrorMessage="1" sqref="B17 B15 C4:C8" xr:uid="{01BF11D9-FCEA-4271-AAEB-41D8F7F3A96D}">
      <formula1>"Tyler, Jacob, Michael"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B3:D5"/>
  <sheetViews>
    <sheetView tabSelected="1" workbookViewId="0">
      <selection activeCell="H8" sqref="H8"/>
    </sheetView>
  </sheetViews>
  <sheetFormatPr defaultRowHeight="15" x14ac:dyDescent="0.25"/>
  <cols>
    <col min="1" max="1" width="8.7109375" customWidth="1"/>
    <col min="2" max="2" width="7.140625" bestFit="1" customWidth="1"/>
    <col min="3" max="3" width="11" bestFit="1" customWidth="1"/>
    <col min="4" max="4" width="19" bestFit="1" customWidth="1"/>
  </cols>
  <sheetData>
    <row r="3" spans="2:4" ht="15.75" thickBot="1" x14ac:dyDescent="0.3"/>
    <row r="4" spans="2:4" ht="15.75" thickBot="1" x14ac:dyDescent="0.3">
      <c r="B4" s="8" t="s">
        <v>17</v>
      </c>
      <c r="C4" s="9" t="s">
        <v>18</v>
      </c>
      <c r="D4" s="10" t="s">
        <v>19</v>
      </c>
    </row>
    <row r="5" spans="2:4" ht="15.75" thickBot="1" x14ac:dyDescent="0.3">
      <c r="B5" s="11" t="s">
        <v>10</v>
      </c>
      <c r="C5" s="7">
        <f>SUM('Week Ending 2.28'!D8,'Week Ending 3.7'!D8,'Week Ending 3.14'!D8,'Week Ending 3.21'!D8,'Week Ending 3.28'!D10,'Week Ending 4.4'!D9,)</f>
        <v>41.5</v>
      </c>
      <c r="D5" s="12">
        <f>SUM('Week Ending 2.28'!C14,'Week Ending 3.7'!C14,'Week Ending 3.14'!C14,'Week Ending 3.21'!C14,'Week Ending 3.28'!C16,'Week Ending 4.4'!C15,)</f>
        <v>933.75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Week Ending 2.28</vt:lpstr>
      <vt:lpstr>Week Ending 3.7</vt:lpstr>
      <vt:lpstr>Week Ending 3.14</vt:lpstr>
      <vt:lpstr>Week Ending 3.21</vt:lpstr>
      <vt:lpstr>Week Ending 3.28</vt:lpstr>
      <vt:lpstr>Week Ending 4.4</vt:lpstr>
      <vt:lpstr>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Jacob Oetken</cp:lastModifiedBy>
  <cp:revision/>
  <dcterms:created xsi:type="dcterms:W3CDTF">2026-02-27T03:14:24Z</dcterms:created>
  <dcterms:modified xsi:type="dcterms:W3CDTF">2026-03-28T20:12:19Z</dcterms:modified>
  <cp:category/>
  <cp:contentStatus/>
</cp:coreProperties>
</file>