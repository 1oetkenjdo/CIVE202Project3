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d.docs.live.net/7cbf3353e9af97e5/Desktop/SP2026/CODES/PROJECT 3/"/>
    </mc:Choice>
  </mc:AlternateContent>
  <xr:revisionPtr revIDLastSave="623" documentId="8_{2D0532B1-89FC-4489-A866-D32F74691416}" xr6:coauthVersionLast="47" xr6:coauthVersionMax="47" xr10:uidLastSave="{107C0D6F-D607-49F2-B8C6-400805D186F7}"/>
  <bookViews>
    <workbookView xWindow="-120" yWindow="-120" windowWidth="38640" windowHeight="15720" xr2:uid="{00000000-000D-0000-FFFF-FFFF00000000}"/>
  </bookViews>
  <sheets>
    <sheet name="Project schedule" sheetId="11" r:id="rId1"/>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3" i="11" l="1"/>
  <c r="H49" i="11"/>
  <c r="H41" i="11"/>
  <c r="H7" i="11"/>
  <c r="I5" i="11" l="1"/>
  <c r="H34" i="11"/>
  <c r="H27" i="11"/>
  <c r="H21" i="11"/>
  <c r="H14" i="11"/>
  <c r="H8" i="11"/>
  <c r="H22" i="11" l="1"/>
  <c r="H23" i="11"/>
  <c r="H9" i="11"/>
  <c r="I6" i="11"/>
  <c r="H50" i="11" l="1"/>
  <c r="H35" i="11"/>
  <c r="H10" i="11"/>
  <c r="H25" i="11"/>
  <c r="H13" i="11"/>
  <c r="J5" i="11"/>
  <c r="K5" i="11" s="1"/>
  <c r="L5" i="11" s="1"/>
  <c r="M5" i="11" s="1"/>
  <c r="N5" i="11" s="1"/>
  <c r="O5" i="11" s="1"/>
  <c r="P5" i="11" s="1"/>
  <c r="Q5" i="11" s="1"/>
  <c r="R5" i="11" s="1"/>
  <c r="S5" i="11" s="1"/>
  <c r="T5" i="11" s="1"/>
  <c r="U5" i="11" s="1"/>
  <c r="V5" i="11" s="1"/>
  <c r="W5" i="11" s="1"/>
  <c r="X5" i="11" s="1"/>
  <c r="Y5" i="11" s="1"/>
  <c r="Z5" i="11" s="1"/>
  <c r="AA5" i="11" s="1"/>
  <c r="AB5" i="11" s="1"/>
  <c r="AC5" i="11" s="1"/>
  <c r="AD5" i="11" s="1"/>
  <c r="AE5" i="11" s="1"/>
  <c r="AF5" i="11" s="1"/>
  <c r="AG5" i="11" s="1"/>
  <c r="AH5" i="11" s="1"/>
  <c r="AI5" i="11" s="1"/>
  <c r="AJ5" i="11" s="1"/>
  <c r="AK5" i="11" s="1"/>
  <c r="I4" i="11"/>
  <c r="AL5" i="11" l="1"/>
  <c r="AK6" i="11"/>
  <c r="AK4" i="11"/>
  <c r="H15" i="11"/>
  <c r="H26" i="11"/>
  <c r="H16" i="11"/>
  <c r="H11" i="11"/>
  <c r="H12" i="11"/>
  <c r="P4" i="11"/>
  <c r="J6" i="11"/>
  <c r="AM5" i="11" l="1"/>
  <c r="AL6" i="11"/>
  <c r="H42" i="11"/>
  <c r="H20" i="11"/>
  <c r="H19" i="11"/>
  <c r="H18" i="11"/>
  <c r="W4" i="11"/>
  <c r="K6" i="11"/>
  <c r="AN5" i="11" l="1"/>
  <c r="AM6" i="11"/>
  <c r="AD4" i="11"/>
  <c r="AD6" i="11"/>
  <c r="H28" i="11"/>
  <c r="H31" i="11"/>
  <c r="L6" i="11"/>
  <c r="AO5" i="11" l="1"/>
  <c r="AN6" i="11"/>
  <c r="AE6" i="11"/>
  <c r="H29" i="11"/>
  <c r="H30" i="11"/>
  <c r="M6" i="11"/>
  <c r="AP5" i="11" l="1"/>
  <c r="AO6" i="11"/>
  <c r="AF6" i="11"/>
  <c r="N6" i="11"/>
  <c r="AQ5" i="11" l="1"/>
  <c r="AP6" i="11"/>
  <c r="AG6" i="11"/>
  <c r="O6" i="11"/>
  <c r="AR5" i="11" l="1"/>
  <c r="AS5" i="11" s="1"/>
  <c r="AT5" i="11" s="1"/>
  <c r="AU5" i="11" s="1"/>
  <c r="AV5" i="11" s="1"/>
  <c r="AW5" i="11" s="1"/>
  <c r="AX5" i="11" s="1"/>
  <c r="AQ6" i="11"/>
  <c r="AH6" i="11"/>
  <c r="P6" i="11"/>
  <c r="Q6" i="11"/>
  <c r="AI6" i="11" l="1"/>
  <c r="R6" i="11"/>
  <c r="AJ6" i="11" l="1"/>
  <c r="S6" i="11"/>
  <c r="AR6" i="11" l="1"/>
  <c r="T6" i="11"/>
  <c r="AS6" i="11" l="1"/>
  <c r="U6" i="11"/>
  <c r="AT6" i="11" l="1"/>
  <c r="V6" i="11"/>
  <c r="AU6" i="11" l="1"/>
  <c r="W6" i="11"/>
  <c r="AV6" i="11" l="1"/>
  <c r="X6" i="11"/>
  <c r="AX6" i="11" l="1"/>
  <c r="AW6" i="11"/>
  <c r="Y6" i="11"/>
  <c r="Z6" i="11" l="1"/>
  <c r="AA6" i="11" l="1"/>
  <c r="AB6" i="11" l="1"/>
  <c r="AC6" i="11" l="1"/>
</calcChain>
</file>

<file path=xl/sharedStrings.xml><?xml version="1.0" encoding="utf-8"?>
<sst xmlns="http://schemas.openxmlformats.org/spreadsheetml/2006/main" count="109" uniqueCount="60">
  <si>
    <t>Project start:</t>
  </si>
  <si>
    <t>Display week:</t>
  </si>
  <si>
    <t>TASK</t>
  </si>
  <si>
    <t>ASSIGNED TO</t>
  </si>
  <si>
    <t>PROGRESS</t>
  </si>
  <si>
    <t>START</t>
  </si>
  <si>
    <t>END</t>
  </si>
  <si>
    <t xml:space="preserve">Do not delete this row. This row is hidden to preserve a formula that is used to highlight the current day within the project schedule. </t>
  </si>
  <si>
    <t>Github Repository</t>
  </si>
  <si>
    <t>Scope of Work</t>
  </si>
  <si>
    <t>Gantt Chart</t>
  </si>
  <si>
    <t>Python Code</t>
  </si>
  <si>
    <t>Annotated Code Document</t>
  </si>
  <si>
    <t>Written Report</t>
  </si>
  <si>
    <t>Identify Tasks</t>
  </si>
  <si>
    <t>Create Gantt Chart</t>
  </si>
  <si>
    <t>Turn in Gantt Chart</t>
  </si>
  <si>
    <t>Create Github</t>
  </si>
  <si>
    <t>Create README Document</t>
  </si>
  <si>
    <t>Submit</t>
  </si>
  <si>
    <t>Review</t>
  </si>
  <si>
    <t>Create SOW</t>
  </si>
  <si>
    <t>Submit SOW</t>
  </si>
  <si>
    <t>LAB 1 Material</t>
  </si>
  <si>
    <t>LAB 2 Material</t>
  </si>
  <si>
    <t>LAB 3 Material</t>
  </si>
  <si>
    <t>Combine/Polish</t>
  </si>
  <si>
    <t>Review and Submit</t>
  </si>
  <si>
    <t>Combine information/Files</t>
  </si>
  <si>
    <t>Upload All Files to Github</t>
  </si>
  <si>
    <t>Right Symbol is Dependent Upon Left Symbol</t>
  </si>
  <si>
    <t>ANNOTATED CD</t>
  </si>
  <si>
    <t>CODE DOCUMENT</t>
  </si>
  <si>
    <t>GITHUB REPO</t>
  </si>
  <si>
    <t>FINAL REPORT</t>
  </si>
  <si>
    <t>DEPENDENCIES</t>
  </si>
  <si>
    <t>CIVE 202 Project #3</t>
  </si>
  <si>
    <t>Jacob Oetken</t>
  </si>
  <si>
    <t>Identify Variables (NHTS and NGSIM)</t>
  </si>
  <si>
    <t>Describe Sources</t>
  </si>
  <si>
    <t>Assign Durrations of Tasks</t>
  </si>
  <si>
    <t>Data Analysis and Preparation</t>
  </si>
  <si>
    <t>Review NHTS Metadata</t>
  </si>
  <si>
    <t>Review NGSIM Metadata</t>
  </si>
  <si>
    <t>Select Variables for Plotting</t>
  </si>
  <si>
    <t>Clean NHTS Data</t>
  </si>
  <si>
    <t>Clean NGSIM Data</t>
  </si>
  <si>
    <t>Create Subsets</t>
  </si>
  <si>
    <t>LAB 4 Material</t>
  </si>
  <si>
    <t>Bar Chart Section</t>
  </si>
  <si>
    <t>Histogram Section</t>
  </si>
  <si>
    <t>Box Plot Section</t>
  </si>
  <si>
    <t>Time Series Section</t>
  </si>
  <si>
    <t>IDM Section</t>
  </si>
  <si>
    <t>Analyze Visualization Outputs</t>
  </si>
  <si>
    <t>Intepret Transportation Trends</t>
  </si>
  <si>
    <t>Interpret Driving Behavior (NGSIM)</t>
  </si>
  <si>
    <t>Interpret IDM Simulation(s)</t>
  </si>
  <si>
    <t>Create Document</t>
  </si>
  <si>
    <t>Report Findings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</si>
</sst>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sz val="11"/>
      <color theme="0"/>
      <name val="Arial"/>
      <family val="2"/>
      <scheme val="minor"/>
    </font>
    <font>
      <sz val="10"/>
      <name val="Arial"/>
      <family val="2"/>
    </font>
    <font>
      <b/>
      <sz val="20"/>
      <color theme="4" tint="-0.249977111117893"/>
      <name val="Arial"/>
      <family val="2"/>
    </font>
    <font>
      <sz val="16"/>
      <color theme="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26"/>
      <color theme="9"/>
      <name val="Arial Black"/>
      <family val="2"/>
      <scheme val="major"/>
    </font>
    <font>
      <b/>
      <sz val="11"/>
      <color theme="1"/>
      <name val="Arial"/>
      <family val="2"/>
      <scheme val="minor"/>
    </font>
    <font>
      <sz val="22"/>
      <color theme="1"/>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33">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7"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08">
    <xf numFmtId="0" fontId="0" fillId="0" borderId="0" xfId="0"/>
    <xf numFmtId="0" fontId="1" fillId="0" borderId="0" xfId="0" applyFont="1"/>
    <xf numFmtId="0" fontId="0" fillId="0" borderId="0" xfId="0" applyAlignment="1">
      <alignment horizontal="center"/>
    </xf>
    <xf numFmtId="0" fontId="3" fillId="0" borderId="1" xfId="0" applyFont="1" applyBorder="1" applyAlignment="1">
      <alignment horizontal="center" vertical="center"/>
    </xf>
    <xf numFmtId="0" fontId="7" fillId="0" borderId="0" xfId="3"/>
    <xf numFmtId="0" fontId="7" fillId="0" borderId="0" xfId="3" applyAlignment="1">
      <alignment wrapText="1"/>
    </xf>
    <xf numFmtId="0" fontId="3" fillId="0" borderId="0" xfId="0" applyFont="1" applyAlignment="1">
      <alignment horizontal="center" vertical="center"/>
    </xf>
    <xf numFmtId="0" fontId="9" fillId="0" borderId="0" xfId="0" applyFont="1"/>
    <xf numFmtId="0" fontId="8" fillId="0" borderId="0" xfId="0" applyFont="1"/>
    <xf numFmtId="0" fontId="8" fillId="0" borderId="0" xfId="0" applyFont="1" applyAlignment="1">
      <alignment horizontal="center"/>
    </xf>
    <xf numFmtId="0" fontId="8" fillId="0" borderId="0" xfId="0" applyFont="1" applyAlignment="1">
      <alignment horizontal="center" vertical="center"/>
    </xf>
    <xf numFmtId="0" fontId="10" fillId="0" borderId="0" xfId="0" applyFont="1"/>
    <xf numFmtId="0" fontId="4" fillId="0" borderId="0" xfId="0" applyFont="1"/>
    <xf numFmtId="0" fontId="1" fillId="0" borderId="0" xfId="1" applyFont="1" applyAlignment="1" applyProtection="1">
      <alignment horizontal="left" vertical="top" indent="1"/>
    </xf>
    <xf numFmtId="0" fontId="4" fillId="0" borderId="0" xfId="0" applyFont="1" applyAlignment="1">
      <alignment horizontal="left" indent="1"/>
    </xf>
    <xf numFmtId="167" fontId="13" fillId="12" borderId="19" xfId="0" applyNumberFormat="1" applyFont="1" applyFill="1" applyBorder="1" applyAlignment="1">
      <alignment horizontal="center" vertical="center"/>
    </xf>
    <xf numFmtId="167" fontId="13" fillId="12" borderId="17" xfId="0" applyNumberFormat="1" applyFont="1" applyFill="1" applyBorder="1" applyAlignment="1">
      <alignment horizontal="center" vertical="center"/>
    </xf>
    <xf numFmtId="167" fontId="13" fillId="12" borderId="18" xfId="0" applyNumberFormat="1" applyFont="1" applyFill="1" applyBorder="1" applyAlignment="1">
      <alignment horizontal="center" vertical="center"/>
    </xf>
    <xf numFmtId="0" fontId="14" fillId="2" borderId="16" xfId="0" applyFont="1" applyFill="1" applyBorder="1" applyAlignment="1">
      <alignment horizontal="center" vertical="center" shrinkToFit="1"/>
    </xf>
    <xf numFmtId="0" fontId="14" fillId="2" borderId="14" xfId="0" applyFont="1" applyFill="1" applyBorder="1" applyAlignment="1">
      <alignment horizontal="center" vertical="center" shrinkToFit="1"/>
    </xf>
    <xf numFmtId="0" fontId="11" fillId="0" borderId="0" xfId="0" applyFont="1"/>
    <xf numFmtId="0" fontId="11" fillId="0" borderId="0" xfId="0" applyFont="1" applyAlignment="1">
      <alignment wrapText="1"/>
    </xf>
    <xf numFmtId="0" fontId="4" fillId="0" borderId="3" xfId="0" applyFont="1" applyBorder="1" applyAlignment="1">
      <alignment vertical="center"/>
    </xf>
    <xf numFmtId="0" fontId="15" fillId="6" borderId="0" xfId="0" applyFont="1" applyFill="1" applyAlignment="1">
      <alignment horizontal="left" vertical="center" indent="1"/>
    </xf>
    <xf numFmtId="0" fontId="11" fillId="6" borderId="0" xfId="11" applyFont="1" applyFill="1" applyBorder="1" applyAlignment="1">
      <alignment vertical="center"/>
    </xf>
    <xf numFmtId="9" fontId="1" fillId="6" borderId="0" xfId="2" applyFont="1" applyFill="1" applyBorder="1" applyAlignment="1">
      <alignment horizontal="center" vertical="center"/>
    </xf>
    <xf numFmtId="164" fontId="11"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1" fillId="3" borderId="6" xfId="12" applyFont="1" applyFill="1" applyBorder="1">
      <alignment horizontal="left" vertical="center" indent="2"/>
    </xf>
    <xf numFmtId="0" fontId="11" fillId="3" borderId="6" xfId="11" applyFont="1" applyFill="1" applyBorder="1" applyAlignment="1">
      <alignment vertical="center"/>
    </xf>
    <xf numFmtId="9" fontId="1" fillId="3" borderId="6" xfId="2" applyFont="1" applyFill="1" applyBorder="1" applyAlignment="1">
      <alignment horizontal="center" vertical="center"/>
    </xf>
    <xf numFmtId="164" fontId="11" fillId="3" borderId="6" xfId="10" applyFont="1" applyFill="1" applyBorder="1">
      <alignment horizontal="center" vertical="center"/>
    </xf>
    <xf numFmtId="0" fontId="4" fillId="0" borderId="4" xfId="0" applyFont="1" applyBorder="1" applyAlignment="1">
      <alignment vertical="center"/>
    </xf>
    <xf numFmtId="0" fontId="11" fillId="3" borderId="7" xfId="12" applyFont="1" applyFill="1" applyBorder="1">
      <alignment horizontal="left" vertical="center" indent="2"/>
    </xf>
    <xf numFmtId="0" fontId="11" fillId="3" borderId="7" xfId="11" applyFont="1" applyFill="1" applyBorder="1" applyAlignment="1">
      <alignment vertical="center"/>
    </xf>
    <xf numFmtId="9" fontId="1" fillId="3" borderId="7" xfId="2" applyFont="1" applyFill="1" applyBorder="1" applyAlignment="1">
      <alignment horizontal="center" vertical="center"/>
    </xf>
    <xf numFmtId="164" fontId="11" fillId="3" borderId="7" xfId="10" applyFont="1" applyFill="1" applyBorder="1">
      <alignment horizontal="center" vertical="center"/>
    </xf>
    <xf numFmtId="0" fontId="4" fillId="0" borderId="4" xfId="0" applyFont="1" applyBorder="1" applyAlignment="1">
      <alignment horizontal="right" vertical="center"/>
    </xf>
    <xf numFmtId="0" fontId="15" fillId="7" borderId="0" xfId="0" applyFont="1" applyFill="1" applyAlignment="1">
      <alignment horizontal="left" vertical="center" indent="1"/>
    </xf>
    <xf numFmtId="0" fontId="11" fillId="7" borderId="0" xfId="11" applyFont="1" applyFill="1" applyBorder="1" applyAlignment="1">
      <alignment vertical="center"/>
    </xf>
    <xf numFmtId="9" fontId="1" fillId="7" borderId="0" xfId="2" applyFont="1" applyFill="1" applyBorder="1" applyAlignment="1">
      <alignment horizontal="center" vertical="center"/>
    </xf>
    <xf numFmtId="164" fontId="11"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1" fillId="4" borderId="5" xfId="12" applyFont="1" applyFill="1" applyBorder="1">
      <alignment horizontal="left" vertical="center" indent="2"/>
    </xf>
    <xf numFmtId="0" fontId="11" fillId="4" borderId="5" xfId="11" applyFont="1" applyFill="1" applyBorder="1" applyAlignment="1">
      <alignment vertical="center"/>
    </xf>
    <xf numFmtId="9" fontId="1" fillId="4" borderId="5" xfId="2" applyFont="1" applyFill="1" applyBorder="1" applyAlignment="1">
      <alignment horizontal="center" vertical="center"/>
    </xf>
    <xf numFmtId="164" fontId="11" fillId="4" borderId="5" xfId="10" applyFont="1" applyFill="1" applyBorder="1">
      <alignment horizontal="center" vertical="center"/>
    </xf>
    <xf numFmtId="0" fontId="15" fillId="8" borderId="0" xfId="0" applyFont="1" applyFill="1" applyAlignment="1">
      <alignment horizontal="left" vertical="center" indent="1"/>
    </xf>
    <xf numFmtId="0" fontId="11" fillId="8" borderId="0" xfId="11" applyFont="1" applyFill="1" applyBorder="1" applyAlignment="1">
      <alignment vertical="center"/>
    </xf>
    <xf numFmtId="9" fontId="1" fillId="8" borderId="0" xfId="2" applyFont="1" applyFill="1" applyBorder="1" applyAlignment="1">
      <alignment horizontal="center" vertical="center"/>
    </xf>
    <xf numFmtId="164" fontId="11"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1" fillId="5" borderId="8" xfId="12" applyFont="1" applyFill="1" applyBorder="1">
      <alignment horizontal="left" vertical="center" indent="2"/>
    </xf>
    <xf numFmtId="0" fontId="11" fillId="5" borderId="8" xfId="11" applyFont="1" applyFill="1" applyBorder="1" applyAlignment="1">
      <alignment vertical="center"/>
    </xf>
    <xf numFmtId="9" fontId="1" fillId="5" borderId="8" xfId="2" applyFont="1" applyFill="1" applyBorder="1" applyAlignment="1">
      <alignment horizontal="center" vertical="center"/>
    </xf>
    <xf numFmtId="164" fontId="11" fillId="5" borderId="8" xfId="10" applyFont="1" applyFill="1" applyBorder="1">
      <alignment horizontal="center" vertical="center"/>
    </xf>
    <xf numFmtId="0" fontId="15" fillId="9" borderId="0" xfId="0" applyFont="1" applyFill="1" applyAlignment="1">
      <alignment horizontal="left" vertical="center" indent="1"/>
    </xf>
    <xf numFmtId="0" fontId="11" fillId="9" borderId="0" xfId="11" applyFont="1" applyFill="1" applyBorder="1" applyAlignment="1">
      <alignment vertical="center"/>
    </xf>
    <xf numFmtId="9" fontId="1" fillId="9" borderId="0" xfId="2" applyFont="1" applyFill="1" applyBorder="1" applyAlignment="1">
      <alignment horizontal="center" vertical="center"/>
    </xf>
    <xf numFmtId="164" fontId="11"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1" fillId="10" borderId="9" xfId="12" applyFont="1" applyFill="1" applyBorder="1">
      <alignment horizontal="left" vertical="center" indent="2"/>
    </xf>
    <xf numFmtId="0" fontId="11" fillId="10" borderId="9" xfId="11" applyFont="1" applyFill="1" applyBorder="1" applyAlignment="1">
      <alignment vertical="center"/>
    </xf>
    <xf numFmtId="9" fontId="1" fillId="10" borderId="9" xfId="2" applyFont="1" applyFill="1" applyBorder="1" applyAlignment="1">
      <alignment horizontal="center" vertical="center"/>
    </xf>
    <xf numFmtId="164" fontId="11" fillId="10" borderId="9" xfId="10" applyFont="1" applyFill="1" applyBorder="1">
      <alignment horizontal="center" vertical="center"/>
    </xf>
    <xf numFmtId="0" fontId="19" fillId="0" borderId="0" xfId="5" applyFont="1" applyAlignment="1">
      <alignment horizontal="left" vertical="center"/>
    </xf>
    <xf numFmtId="0" fontId="0" fillId="0" borderId="21" xfId="0" applyBorder="1"/>
    <xf numFmtId="0" fontId="4" fillId="0" borderId="21" xfId="0" applyFont="1" applyBorder="1"/>
    <xf numFmtId="0" fontId="4" fillId="0" borderId="21" xfId="0" applyFont="1" applyBorder="1" applyAlignment="1">
      <alignment vertical="center"/>
    </xf>
    <xf numFmtId="0" fontId="0" fillId="0" borderId="23" xfId="0" applyBorder="1"/>
    <xf numFmtId="0" fontId="0" fillId="0" borderId="24" xfId="0" applyBorder="1"/>
    <xf numFmtId="0" fontId="0" fillId="0" borderId="25" xfId="0" applyBorder="1"/>
    <xf numFmtId="0" fontId="4" fillId="0" borderId="23" xfId="0" applyFont="1" applyBorder="1"/>
    <xf numFmtId="0" fontId="4" fillId="0" borderId="24" xfId="0" applyFont="1" applyBorder="1"/>
    <xf numFmtId="0" fontId="4" fillId="0" borderId="23" xfId="0" applyFont="1" applyBorder="1" applyAlignment="1">
      <alignment vertical="center"/>
    </xf>
    <xf numFmtId="0" fontId="4" fillId="0" borderId="24" xfId="0" applyFont="1" applyBorder="1" applyAlignment="1">
      <alignment vertical="center"/>
    </xf>
    <xf numFmtId="0" fontId="4" fillId="0" borderId="25" xfId="0" applyFont="1" applyBorder="1" applyAlignment="1">
      <alignment vertical="center"/>
    </xf>
    <xf numFmtId="0" fontId="4" fillId="0" borderId="27" xfId="0" applyFont="1" applyBorder="1" applyAlignment="1">
      <alignment vertical="center"/>
    </xf>
    <xf numFmtId="0" fontId="4" fillId="0" borderId="30" xfId="0" applyFont="1" applyBorder="1" applyAlignment="1">
      <alignment vertical="center"/>
    </xf>
    <xf numFmtId="0" fontId="4" fillId="0" borderId="26" xfId="0" applyFont="1" applyBorder="1" applyAlignment="1">
      <alignment vertical="center"/>
    </xf>
    <xf numFmtId="0" fontId="4" fillId="0" borderId="22" xfId="0" applyFont="1" applyBorder="1" applyAlignment="1">
      <alignment vertical="center"/>
    </xf>
    <xf numFmtId="0" fontId="0" fillId="0" borderId="30" xfId="0" applyBorder="1"/>
    <xf numFmtId="0" fontId="0" fillId="0" borderId="31" xfId="0" applyBorder="1"/>
    <xf numFmtId="0" fontId="4" fillId="0" borderId="32" xfId="0" applyFont="1" applyBorder="1" applyAlignment="1">
      <alignment vertical="center"/>
    </xf>
    <xf numFmtId="0" fontId="4" fillId="0" borderId="31" xfId="0" applyFont="1" applyBorder="1" applyAlignment="1">
      <alignment vertical="center"/>
    </xf>
    <xf numFmtId="0" fontId="7" fillId="0" borderId="0" xfId="3" applyAlignment="1">
      <alignment wrapText="1"/>
    </xf>
    <xf numFmtId="0" fontId="12" fillId="11" borderId="15" xfId="0" applyFont="1" applyFill="1" applyBorder="1" applyAlignment="1">
      <alignment horizontal="left" vertical="center" indent="1"/>
    </xf>
    <xf numFmtId="0" fontId="4" fillId="2" borderId="20" xfId="0" applyFont="1" applyFill="1" applyBorder="1" applyAlignment="1">
      <alignment horizontal="left" indent="1"/>
    </xf>
    <xf numFmtId="0" fontId="12" fillId="11" borderId="15" xfId="0" applyFont="1" applyFill="1" applyBorder="1" applyAlignment="1">
      <alignment vertical="center"/>
    </xf>
    <xf numFmtId="0" fontId="4" fillId="2" borderId="20" xfId="0" applyFont="1" applyFill="1" applyBorder="1"/>
    <xf numFmtId="0" fontId="12" fillId="11" borderId="15" xfId="0" applyFont="1" applyFill="1" applyBorder="1" applyAlignment="1">
      <alignment horizontal="center" vertical="center"/>
    </xf>
    <xf numFmtId="166" fontId="11" fillId="2" borderId="13" xfId="0" applyNumberFormat="1" applyFont="1" applyFill="1" applyBorder="1" applyAlignment="1">
      <alignment horizontal="center" vertical="center" wrapText="1"/>
    </xf>
    <xf numFmtId="0" fontId="17" fillId="0" borderId="0" xfId="0" applyFont="1" applyAlignment="1">
      <alignment horizontal="left"/>
    </xf>
    <xf numFmtId="0" fontId="18" fillId="0" borderId="0" xfId="0" applyFont="1"/>
    <xf numFmtId="165" fontId="17" fillId="0" borderId="0" xfId="9" applyFont="1" applyBorder="1" applyAlignment="1">
      <alignment horizontal="left"/>
    </xf>
    <xf numFmtId="0" fontId="16" fillId="0" borderId="0" xfId="8" applyFont="1" applyAlignment="1">
      <alignment horizontal="left"/>
    </xf>
    <xf numFmtId="0" fontId="4" fillId="0" borderId="0" xfId="0" applyFont="1"/>
    <xf numFmtId="0" fontId="16" fillId="0" borderId="0" xfId="6" applyFont="1" applyAlignment="1">
      <alignment horizontal="center" vertical="center"/>
    </xf>
    <xf numFmtId="166" fontId="11" fillId="2" borderId="17" xfId="0" applyNumberFormat="1" applyFont="1" applyFill="1" applyBorder="1" applyAlignment="1">
      <alignment horizontal="center" vertical="center" wrapText="1"/>
    </xf>
    <xf numFmtId="0" fontId="21" fillId="0" borderId="26" xfId="0" applyFont="1"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20" fillId="0" borderId="29" xfId="0" applyFont="1" applyBorder="1" applyAlignment="1">
      <alignment horizontal="center"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6600"/>
      <color rgb="FFFFCBA7"/>
      <color rgb="FFFFCCB3"/>
      <color rgb="FF215881"/>
      <color rgb="FF42648A"/>
      <color rgb="FF969696"/>
      <color rgb="FFC0C0C0"/>
      <color rgb="FF427FC2"/>
      <color rgb="FF44678E"/>
      <color rgb="FF4A6F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51</xdr:col>
      <xdr:colOff>42714</xdr:colOff>
      <xdr:row>35</xdr:row>
      <xdr:rowOff>100694</xdr:rowOff>
    </xdr:from>
    <xdr:to>
      <xdr:col>52</xdr:col>
      <xdr:colOff>303971</xdr:colOff>
      <xdr:row>38</xdr:row>
      <xdr:rowOff>253094</xdr:rowOff>
    </xdr:to>
    <xdr:sp macro="" textlink="">
      <xdr:nvSpPr>
        <xdr:cNvPr id="11" name="Rectangle 10">
          <a:extLst>
            <a:ext uri="{FF2B5EF4-FFF2-40B4-BE49-F238E27FC236}">
              <a16:creationId xmlns:a16="http://schemas.microsoft.com/office/drawing/2014/main" id="{93B8DC93-C773-4805-BD28-9F5052343CF8}"/>
            </a:ext>
          </a:extLst>
        </xdr:cNvPr>
        <xdr:cNvSpPr/>
      </xdr:nvSpPr>
      <xdr:spPr>
        <a:xfrm>
          <a:off x="17411344" y="12673694"/>
          <a:ext cx="915584" cy="914400"/>
        </a:xfrm>
        <a:prstGeom prst="rect">
          <a:avLst/>
        </a:prstGeom>
        <a:noFill/>
        <a:ln w="76200">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R</a:t>
          </a:r>
        </a:p>
      </xdr:txBody>
    </xdr:sp>
    <xdr:clientData/>
  </xdr:twoCellAnchor>
  <xdr:twoCellAnchor>
    <xdr:from>
      <xdr:col>51</xdr:col>
      <xdr:colOff>40704</xdr:colOff>
      <xdr:row>42</xdr:row>
      <xdr:rowOff>129446</xdr:rowOff>
    </xdr:from>
    <xdr:to>
      <xdr:col>52</xdr:col>
      <xdr:colOff>301961</xdr:colOff>
      <xdr:row>44</xdr:row>
      <xdr:rowOff>281846</xdr:rowOff>
    </xdr:to>
    <xdr:sp macro="" textlink="">
      <xdr:nvSpPr>
        <xdr:cNvPr id="12" name="Rectangle 11">
          <a:extLst>
            <a:ext uri="{FF2B5EF4-FFF2-40B4-BE49-F238E27FC236}">
              <a16:creationId xmlns:a16="http://schemas.microsoft.com/office/drawing/2014/main" id="{A1EF7D5E-C705-4080-B555-BDE5D285CCAE}"/>
            </a:ext>
          </a:extLst>
        </xdr:cNvPr>
        <xdr:cNvSpPr/>
      </xdr:nvSpPr>
      <xdr:spPr>
        <a:xfrm>
          <a:off x="17409334" y="14988446"/>
          <a:ext cx="915584" cy="914400"/>
        </a:xfrm>
        <a:prstGeom prst="rect">
          <a:avLst/>
        </a:prstGeom>
        <a:noFill/>
        <a:ln w="76200">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R</a:t>
          </a:r>
        </a:p>
      </xdr:txBody>
    </xdr:sp>
    <xdr:clientData/>
  </xdr:twoCellAnchor>
  <xdr:twoCellAnchor>
    <xdr:from>
      <xdr:col>51</xdr:col>
      <xdr:colOff>45554</xdr:colOff>
      <xdr:row>28</xdr:row>
      <xdr:rowOff>273778</xdr:rowOff>
    </xdr:from>
    <xdr:to>
      <xdr:col>52</xdr:col>
      <xdr:colOff>306811</xdr:colOff>
      <xdr:row>31</xdr:row>
      <xdr:rowOff>45178</xdr:rowOff>
    </xdr:to>
    <xdr:sp macro="" textlink="">
      <xdr:nvSpPr>
        <xdr:cNvPr id="13" name="Rectangle 12">
          <a:extLst>
            <a:ext uri="{FF2B5EF4-FFF2-40B4-BE49-F238E27FC236}">
              <a16:creationId xmlns:a16="http://schemas.microsoft.com/office/drawing/2014/main" id="{DE2522DF-523B-48DD-8566-C9382A879A67}"/>
            </a:ext>
          </a:extLst>
        </xdr:cNvPr>
        <xdr:cNvSpPr/>
      </xdr:nvSpPr>
      <xdr:spPr>
        <a:xfrm>
          <a:off x="22042701" y="10840925"/>
          <a:ext cx="922404" cy="914400"/>
        </a:xfrm>
        <a:prstGeom prst="rect">
          <a:avLst/>
        </a:prstGeom>
        <a:noFill/>
        <a:ln w="76200">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R</a:t>
          </a:r>
        </a:p>
      </xdr:txBody>
    </xdr:sp>
    <xdr:clientData/>
  </xdr:twoCellAnchor>
  <xdr:twoCellAnchor>
    <xdr:from>
      <xdr:col>51</xdr:col>
      <xdr:colOff>367392</xdr:colOff>
      <xdr:row>0</xdr:row>
      <xdr:rowOff>1006928</xdr:rowOff>
    </xdr:from>
    <xdr:to>
      <xdr:col>52</xdr:col>
      <xdr:colOff>628649</xdr:colOff>
      <xdr:row>3</xdr:row>
      <xdr:rowOff>16328</xdr:rowOff>
    </xdr:to>
    <xdr:sp macro="" textlink="">
      <xdr:nvSpPr>
        <xdr:cNvPr id="14" name="Rectangle 13">
          <a:extLst>
            <a:ext uri="{FF2B5EF4-FFF2-40B4-BE49-F238E27FC236}">
              <a16:creationId xmlns:a16="http://schemas.microsoft.com/office/drawing/2014/main" id="{A1820181-174C-4807-BB66-A79ED6B0CA2D}"/>
            </a:ext>
          </a:extLst>
        </xdr:cNvPr>
        <xdr:cNvSpPr/>
      </xdr:nvSpPr>
      <xdr:spPr>
        <a:xfrm>
          <a:off x="17702892" y="1006928"/>
          <a:ext cx="914400" cy="805543"/>
        </a:xfrm>
        <a:prstGeom prst="rect">
          <a:avLst/>
        </a:prstGeom>
        <a:noFill/>
        <a:ln w="762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_</a:t>
          </a:r>
        </a:p>
      </xdr:txBody>
    </xdr:sp>
    <xdr:clientData/>
  </xdr:twoCellAnchor>
  <xdr:twoCellAnchor>
    <xdr:from>
      <xdr:col>57</xdr:col>
      <xdr:colOff>2722</xdr:colOff>
      <xdr:row>0</xdr:row>
      <xdr:rowOff>1009650</xdr:rowOff>
    </xdr:from>
    <xdr:to>
      <xdr:col>58</xdr:col>
      <xdr:colOff>263979</xdr:colOff>
      <xdr:row>3</xdr:row>
      <xdr:rowOff>19050</xdr:rowOff>
    </xdr:to>
    <xdr:sp macro="" textlink="">
      <xdr:nvSpPr>
        <xdr:cNvPr id="15" name="Rectangle 14">
          <a:extLst>
            <a:ext uri="{FF2B5EF4-FFF2-40B4-BE49-F238E27FC236}">
              <a16:creationId xmlns:a16="http://schemas.microsoft.com/office/drawing/2014/main" id="{50A06F88-64D8-4200-A2B4-AC765CD3003B}"/>
            </a:ext>
          </a:extLst>
        </xdr:cNvPr>
        <xdr:cNvSpPr/>
      </xdr:nvSpPr>
      <xdr:spPr>
        <a:xfrm>
          <a:off x="21257079" y="1009650"/>
          <a:ext cx="914400" cy="805543"/>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t>_</a:t>
          </a:r>
        </a:p>
      </xdr:txBody>
    </xdr:sp>
    <xdr:clientData/>
  </xdr:twoCellAnchor>
  <xdr:twoCellAnchor>
    <xdr:from>
      <xdr:col>51</xdr:col>
      <xdr:colOff>42952</xdr:colOff>
      <xdr:row>9</xdr:row>
      <xdr:rowOff>40584</xdr:rowOff>
    </xdr:from>
    <xdr:to>
      <xdr:col>52</xdr:col>
      <xdr:colOff>304209</xdr:colOff>
      <xdr:row>11</xdr:row>
      <xdr:rowOff>192984</xdr:rowOff>
    </xdr:to>
    <xdr:sp macro="" textlink="">
      <xdr:nvSpPr>
        <xdr:cNvPr id="16" name="Rectangle 15">
          <a:extLst>
            <a:ext uri="{FF2B5EF4-FFF2-40B4-BE49-F238E27FC236}">
              <a16:creationId xmlns:a16="http://schemas.microsoft.com/office/drawing/2014/main" id="{C4F1C564-AE10-4D92-88F5-2FD03A8FB528}"/>
            </a:ext>
          </a:extLst>
        </xdr:cNvPr>
        <xdr:cNvSpPr/>
      </xdr:nvSpPr>
      <xdr:spPr>
        <a:xfrm>
          <a:off x="17411582" y="3469584"/>
          <a:ext cx="915584" cy="914400"/>
        </a:xfrm>
        <a:prstGeom prst="rect">
          <a:avLst/>
        </a:prstGeom>
        <a:noFill/>
        <a:ln w="76200">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R</a:t>
          </a:r>
        </a:p>
      </xdr:txBody>
    </xdr:sp>
    <xdr:clientData/>
  </xdr:twoCellAnchor>
  <xdr:twoCellAnchor>
    <xdr:from>
      <xdr:col>51</xdr:col>
      <xdr:colOff>43306</xdr:colOff>
      <xdr:row>15</xdr:row>
      <xdr:rowOff>356270</xdr:rowOff>
    </xdr:from>
    <xdr:to>
      <xdr:col>52</xdr:col>
      <xdr:colOff>304563</xdr:colOff>
      <xdr:row>18</xdr:row>
      <xdr:rowOff>127670</xdr:rowOff>
    </xdr:to>
    <xdr:sp macro="" textlink="">
      <xdr:nvSpPr>
        <xdr:cNvPr id="17" name="Rectangle 16">
          <a:extLst>
            <a:ext uri="{FF2B5EF4-FFF2-40B4-BE49-F238E27FC236}">
              <a16:creationId xmlns:a16="http://schemas.microsoft.com/office/drawing/2014/main" id="{6CE88AE6-A3B8-4251-B607-26716D8D22BE}"/>
            </a:ext>
          </a:extLst>
        </xdr:cNvPr>
        <xdr:cNvSpPr/>
      </xdr:nvSpPr>
      <xdr:spPr>
        <a:xfrm>
          <a:off x="17411936" y="6071270"/>
          <a:ext cx="915584" cy="914400"/>
        </a:xfrm>
        <a:prstGeom prst="rect">
          <a:avLst/>
        </a:prstGeom>
        <a:noFill/>
        <a:ln w="76200">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R</a:t>
          </a:r>
        </a:p>
      </xdr:txBody>
    </xdr:sp>
    <xdr:clientData/>
  </xdr:twoCellAnchor>
  <xdr:twoCellAnchor>
    <xdr:from>
      <xdr:col>51</xdr:col>
      <xdr:colOff>20114</xdr:colOff>
      <xdr:row>49</xdr:row>
      <xdr:rowOff>323613</xdr:rowOff>
    </xdr:from>
    <xdr:to>
      <xdr:col>52</xdr:col>
      <xdr:colOff>281371</xdr:colOff>
      <xdr:row>56</xdr:row>
      <xdr:rowOff>95013</xdr:rowOff>
    </xdr:to>
    <xdr:sp macro="" textlink="">
      <xdr:nvSpPr>
        <xdr:cNvPr id="18" name="Rectangle 17">
          <a:extLst>
            <a:ext uri="{FF2B5EF4-FFF2-40B4-BE49-F238E27FC236}">
              <a16:creationId xmlns:a16="http://schemas.microsoft.com/office/drawing/2014/main" id="{7548F2D4-C48B-4762-BE78-497F09C21B38}"/>
            </a:ext>
          </a:extLst>
        </xdr:cNvPr>
        <xdr:cNvSpPr/>
      </xdr:nvSpPr>
      <xdr:spPr>
        <a:xfrm>
          <a:off x="16974614" y="16973313"/>
          <a:ext cx="908957" cy="914400"/>
        </a:xfrm>
        <a:prstGeom prst="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t>R</a:t>
          </a:r>
        </a:p>
      </xdr:txBody>
    </xdr:sp>
    <xdr:clientData/>
  </xdr:twoCellAnchor>
  <xdr:twoCellAnchor>
    <xdr:from>
      <xdr:col>53</xdr:col>
      <xdr:colOff>19050</xdr:colOff>
      <xdr:row>9</xdr:row>
      <xdr:rowOff>19050</xdr:rowOff>
    </xdr:from>
    <xdr:to>
      <xdr:col>54</xdr:col>
      <xdr:colOff>280307</xdr:colOff>
      <xdr:row>11</xdr:row>
      <xdr:rowOff>171450</xdr:rowOff>
    </xdr:to>
    <xdr:sp macro="" textlink="">
      <xdr:nvSpPr>
        <xdr:cNvPr id="19" name="Rectangle 18">
          <a:extLst>
            <a:ext uri="{FF2B5EF4-FFF2-40B4-BE49-F238E27FC236}">
              <a16:creationId xmlns:a16="http://schemas.microsoft.com/office/drawing/2014/main" id="{18D7912E-963E-4D49-BD01-CF9FD12CCE43}"/>
            </a:ext>
          </a:extLst>
        </xdr:cNvPr>
        <xdr:cNvSpPr/>
      </xdr:nvSpPr>
      <xdr:spPr>
        <a:xfrm>
          <a:off x="18660836" y="3448050"/>
          <a:ext cx="914400" cy="91440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t>G</a:t>
          </a:r>
        </a:p>
      </xdr:txBody>
    </xdr:sp>
    <xdr:clientData/>
  </xdr:twoCellAnchor>
  <xdr:twoCellAnchor>
    <xdr:from>
      <xdr:col>53</xdr:col>
      <xdr:colOff>57148</xdr:colOff>
      <xdr:row>28</xdr:row>
      <xdr:rowOff>278866</xdr:rowOff>
    </xdr:from>
    <xdr:to>
      <xdr:col>54</xdr:col>
      <xdr:colOff>318405</xdr:colOff>
      <xdr:row>31</xdr:row>
      <xdr:rowOff>50266</xdr:rowOff>
    </xdr:to>
    <xdr:sp macro="" textlink="">
      <xdr:nvSpPr>
        <xdr:cNvPr id="20" name="Rectangle 19">
          <a:extLst>
            <a:ext uri="{FF2B5EF4-FFF2-40B4-BE49-F238E27FC236}">
              <a16:creationId xmlns:a16="http://schemas.microsoft.com/office/drawing/2014/main" id="{61D0331E-635E-4BC5-9546-3FC155897FB4}"/>
            </a:ext>
          </a:extLst>
        </xdr:cNvPr>
        <xdr:cNvSpPr/>
      </xdr:nvSpPr>
      <xdr:spPr>
        <a:xfrm>
          <a:off x="23376589" y="10846013"/>
          <a:ext cx="922404" cy="914400"/>
        </a:xfrm>
        <a:prstGeom prst="rect">
          <a:avLst/>
        </a:prstGeom>
        <a:noFill/>
        <a:ln w="76200">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G</a:t>
          </a:r>
        </a:p>
      </xdr:txBody>
    </xdr:sp>
    <xdr:clientData/>
  </xdr:twoCellAnchor>
  <xdr:twoCellAnchor>
    <xdr:from>
      <xdr:col>53</xdr:col>
      <xdr:colOff>48630</xdr:colOff>
      <xdr:row>35</xdr:row>
      <xdr:rowOff>100694</xdr:rowOff>
    </xdr:from>
    <xdr:to>
      <xdr:col>54</xdr:col>
      <xdr:colOff>309887</xdr:colOff>
      <xdr:row>38</xdr:row>
      <xdr:rowOff>253094</xdr:rowOff>
    </xdr:to>
    <xdr:sp macro="" textlink="">
      <xdr:nvSpPr>
        <xdr:cNvPr id="21" name="Rectangle 20">
          <a:extLst>
            <a:ext uri="{FF2B5EF4-FFF2-40B4-BE49-F238E27FC236}">
              <a16:creationId xmlns:a16="http://schemas.microsoft.com/office/drawing/2014/main" id="{C59FCDE2-25A5-47E7-9AF1-66844F242733}"/>
            </a:ext>
          </a:extLst>
        </xdr:cNvPr>
        <xdr:cNvSpPr/>
      </xdr:nvSpPr>
      <xdr:spPr>
        <a:xfrm>
          <a:off x="18690416" y="12673694"/>
          <a:ext cx="914400" cy="914400"/>
        </a:xfrm>
        <a:prstGeom prst="rect">
          <a:avLst/>
        </a:prstGeom>
        <a:noFill/>
        <a:ln w="76200">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G</a:t>
          </a:r>
        </a:p>
      </xdr:txBody>
    </xdr:sp>
    <xdr:clientData/>
  </xdr:twoCellAnchor>
  <xdr:twoCellAnchor>
    <xdr:from>
      <xdr:col>53</xdr:col>
      <xdr:colOff>60222</xdr:colOff>
      <xdr:row>42</xdr:row>
      <xdr:rowOff>129446</xdr:rowOff>
    </xdr:from>
    <xdr:to>
      <xdr:col>54</xdr:col>
      <xdr:colOff>321479</xdr:colOff>
      <xdr:row>44</xdr:row>
      <xdr:rowOff>281846</xdr:rowOff>
    </xdr:to>
    <xdr:sp macro="" textlink="">
      <xdr:nvSpPr>
        <xdr:cNvPr id="22" name="Rectangle 21">
          <a:extLst>
            <a:ext uri="{FF2B5EF4-FFF2-40B4-BE49-F238E27FC236}">
              <a16:creationId xmlns:a16="http://schemas.microsoft.com/office/drawing/2014/main" id="{F02A5153-E0C6-4886-A4A6-26E8D1E5B32F}"/>
            </a:ext>
          </a:extLst>
        </xdr:cNvPr>
        <xdr:cNvSpPr/>
      </xdr:nvSpPr>
      <xdr:spPr>
        <a:xfrm>
          <a:off x="18702008" y="14988446"/>
          <a:ext cx="914400" cy="914400"/>
        </a:xfrm>
        <a:prstGeom prst="rect">
          <a:avLst/>
        </a:prstGeom>
        <a:noFill/>
        <a:ln w="76200">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G</a:t>
          </a:r>
        </a:p>
      </xdr:txBody>
    </xdr:sp>
    <xdr:clientData/>
  </xdr:twoCellAnchor>
  <xdr:twoCellAnchor>
    <xdr:from>
      <xdr:col>55</xdr:col>
      <xdr:colOff>12423</xdr:colOff>
      <xdr:row>35</xdr:row>
      <xdr:rowOff>92292</xdr:rowOff>
    </xdr:from>
    <xdr:to>
      <xdr:col>56</xdr:col>
      <xdr:colOff>273680</xdr:colOff>
      <xdr:row>38</xdr:row>
      <xdr:rowOff>244692</xdr:rowOff>
    </xdr:to>
    <xdr:sp macro="" textlink="">
      <xdr:nvSpPr>
        <xdr:cNvPr id="25" name="Rectangle 24">
          <a:extLst>
            <a:ext uri="{FF2B5EF4-FFF2-40B4-BE49-F238E27FC236}">
              <a16:creationId xmlns:a16="http://schemas.microsoft.com/office/drawing/2014/main" id="{FACCE423-A8D6-4036-A588-D4C59337A65A}"/>
            </a:ext>
          </a:extLst>
        </xdr:cNvPr>
        <xdr:cNvSpPr/>
      </xdr:nvSpPr>
      <xdr:spPr>
        <a:xfrm>
          <a:off x="19960494" y="12665292"/>
          <a:ext cx="914400" cy="914400"/>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t>C</a:t>
          </a:r>
        </a:p>
      </xdr:txBody>
    </xdr:sp>
    <xdr:clientData/>
  </xdr:twoCellAnchor>
  <xdr:twoCellAnchor>
    <xdr:from>
      <xdr:col>55</xdr:col>
      <xdr:colOff>54429</xdr:colOff>
      <xdr:row>28</xdr:row>
      <xdr:rowOff>276145</xdr:rowOff>
    </xdr:from>
    <xdr:to>
      <xdr:col>56</xdr:col>
      <xdr:colOff>315686</xdr:colOff>
      <xdr:row>31</xdr:row>
      <xdr:rowOff>47545</xdr:rowOff>
    </xdr:to>
    <xdr:sp macro="" textlink="">
      <xdr:nvSpPr>
        <xdr:cNvPr id="26" name="Rectangle 25">
          <a:extLst>
            <a:ext uri="{FF2B5EF4-FFF2-40B4-BE49-F238E27FC236}">
              <a16:creationId xmlns:a16="http://schemas.microsoft.com/office/drawing/2014/main" id="{4FB6B5D4-4747-4E1E-B52D-0C96C29731AE}"/>
            </a:ext>
          </a:extLst>
        </xdr:cNvPr>
        <xdr:cNvSpPr/>
      </xdr:nvSpPr>
      <xdr:spPr>
        <a:xfrm>
          <a:off x="24696164" y="10843292"/>
          <a:ext cx="922404" cy="914400"/>
        </a:xfrm>
        <a:prstGeom prst="rect">
          <a:avLst/>
        </a:prstGeom>
        <a:noFill/>
        <a:ln w="76200">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C</a:t>
          </a:r>
        </a:p>
      </xdr:txBody>
    </xdr:sp>
    <xdr:clientData/>
  </xdr:twoCellAnchor>
  <xdr:twoCellAnchor>
    <xdr:from>
      <xdr:col>57</xdr:col>
      <xdr:colOff>54429</xdr:colOff>
      <xdr:row>35</xdr:row>
      <xdr:rowOff>108857</xdr:rowOff>
    </xdr:from>
    <xdr:to>
      <xdr:col>58</xdr:col>
      <xdr:colOff>315686</xdr:colOff>
      <xdr:row>38</xdr:row>
      <xdr:rowOff>261257</xdr:rowOff>
    </xdr:to>
    <xdr:sp macro="" textlink="">
      <xdr:nvSpPr>
        <xdr:cNvPr id="27" name="Rectangle 26">
          <a:extLst>
            <a:ext uri="{FF2B5EF4-FFF2-40B4-BE49-F238E27FC236}">
              <a16:creationId xmlns:a16="http://schemas.microsoft.com/office/drawing/2014/main" id="{85856C19-71AF-4D4E-9A3A-E09D3D149AF1}"/>
            </a:ext>
          </a:extLst>
        </xdr:cNvPr>
        <xdr:cNvSpPr/>
      </xdr:nvSpPr>
      <xdr:spPr>
        <a:xfrm>
          <a:off x="21308786" y="12681857"/>
          <a:ext cx="914400" cy="914400"/>
        </a:xfrm>
        <a:prstGeom prst="rect">
          <a:avLst/>
        </a:prstGeom>
        <a:noFill/>
        <a:ln w="76200">
          <a:solidFill>
            <a:schemeClr val="accent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A</a:t>
          </a:r>
        </a:p>
      </xdr:txBody>
    </xdr:sp>
    <xdr:clientData/>
  </xdr:twoCellAnchor>
  <xdr:twoCellAnchor>
    <xdr:from>
      <xdr:col>55</xdr:col>
      <xdr:colOff>57145</xdr:colOff>
      <xdr:row>15</xdr:row>
      <xdr:rowOff>356508</xdr:rowOff>
    </xdr:from>
    <xdr:to>
      <xdr:col>56</xdr:col>
      <xdr:colOff>318402</xdr:colOff>
      <xdr:row>18</xdr:row>
      <xdr:rowOff>127908</xdr:rowOff>
    </xdr:to>
    <xdr:sp macro="" textlink="">
      <xdr:nvSpPr>
        <xdr:cNvPr id="28" name="Rectangle 27">
          <a:extLst>
            <a:ext uri="{FF2B5EF4-FFF2-40B4-BE49-F238E27FC236}">
              <a16:creationId xmlns:a16="http://schemas.microsoft.com/office/drawing/2014/main" id="{76645DDE-1825-4880-A930-57910852C360}"/>
            </a:ext>
          </a:extLst>
        </xdr:cNvPr>
        <xdr:cNvSpPr/>
      </xdr:nvSpPr>
      <xdr:spPr>
        <a:xfrm>
          <a:off x="20005216" y="6071508"/>
          <a:ext cx="914400" cy="914400"/>
        </a:xfrm>
        <a:prstGeom prst="rect">
          <a:avLst/>
        </a:prstGeom>
        <a:noFill/>
        <a:ln w="76200">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C</a:t>
          </a:r>
        </a:p>
      </xdr:txBody>
    </xdr:sp>
    <xdr:clientData/>
  </xdr:twoCellAnchor>
  <xdr:twoCellAnchor>
    <xdr:from>
      <xdr:col>57</xdr:col>
      <xdr:colOff>1537</xdr:colOff>
      <xdr:row>42</xdr:row>
      <xdr:rowOff>135835</xdr:rowOff>
    </xdr:from>
    <xdr:to>
      <xdr:col>58</xdr:col>
      <xdr:colOff>262794</xdr:colOff>
      <xdr:row>44</xdr:row>
      <xdr:rowOff>288235</xdr:rowOff>
    </xdr:to>
    <xdr:sp macro="" textlink="">
      <xdr:nvSpPr>
        <xdr:cNvPr id="29" name="Rectangle 28">
          <a:extLst>
            <a:ext uri="{FF2B5EF4-FFF2-40B4-BE49-F238E27FC236}">
              <a16:creationId xmlns:a16="http://schemas.microsoft.com/office/drawing/2014/main" id="{C1B718CA-6870-4E43-9E33-2D2AFB6C5641}"/>
            </a:ext>
          </a:extLst>
        </xdr:cNvPr>
        <xdr:cNvSpPr/>
      </xdr:nvSpPr>
      <xdr:spPr>
        <a:xfrm>
          <a:off x="21255894" y="14994835"/>
          <a:ext cx="914400" cy="914400"/>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t>A</a:t>
          </a:r>
        </a:p>
      </xdr:txBody>
    </xdr:sp>
    <xdr:clientData/>
  </xdr:twoCellAnchor>
  <xdr:twoCellAnchor>
    <xdr:from>
      <xdr:col>13</xdr:col>
      <xdr:colOff>204108</xdr:colOff>
      <xdr:row>27</xdr:row>
      <xdr:rowOff>40821</xdr:rowOff>
    </xdr:from>
    <xdr:to>
      <xdr:col>31</xdr:col>
      <xdr:colOff>326572</xdr:colOff>
      <xdr:row>31</xdr:row>
      <xdr:rowOff>163286</xdr:rowOff>
    </xdr:to>
    <xdr:sp macro="" textlink="">
      <xdr:nvSpPr>
        <xdr:cNvPr id="2" name="TextBox 1">
          <a:extLst>
            <a:ext uri="{FF2B5EF4-FFF2-40B4-BE49-F238E27FC236}">
              <a16:creationId xmlns:a16="http://schemas.microsoft.com/office/drawing/2014/main" id="{CB841C6C-4D99-6F99-E121-049170BBF70D}"/>
            </a:ext>
          </a:extLst>
        </xdr:cNvPr>
        <xdr:cNvSpPr txBox="1"/>
      </xdr:nvSpPr>
      <xdr:spPr>
        <a:xfrm>
          <a:off x="9198429" y="10218964"/>
          <a:ext cx="6490607" cy="16464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kern="1200"/>
            <a:t>DATES DUE ARE UNKNOWN, WILL ADJUST ONCE DATES ARE GIVEN</a:t>
          </a:r>
          <a:br>
            <a:rPr lang="en-US" sz="2400" kern="1200"/>
          </a:br>
          <a:r>
            <a:rPr lang="en-US" sz="2400" kern="1200"/>
            <a:t>(this is a draft - will be updated for final)</a:t>
          </a:r>
        </a:p>
      </xdr:txBody>
    </xdr:sp>
    <xdr:clientData/>
  </xdr:twoCellAnchor>
  <xdr:twoCellAnchor>
    <xdr:from>
      <xdr:col>53</xdr:col>
      <xdr:colOff>20113</xdr:colOff>
      <xdr:row>49</xdr:row>
      <xdr:rowOff>313222</xdr:rowOff>
    </xdr:from>
    <xdr:to>
      <xdr:col>54</xdr:col>
      <xdr:colOff>281370</xdr:colOff>
      <xdr:row>56</xdr:row>
      <xdr:rowOff>84622</xdr:rowOff>
    </xdr:to>
    <xdr:sp macro="" textlink="">
      <xdr:nvSpPr>
        <xdr:cNvPr id="5" name="Rectangle 4">
          <a:extLst>
            <a:ext uri="{FF2B5EF4-FFF2-40B4-BE49-F238E27FC236}">
              <a16:creationId xmlns:a16="http://schemas.microsoft.com/office/drawing/2014/main" id="{51520486-384C-4C2A-93F3-ADB4C7CE3EA6}"/>
            </a:ext>
          </a:extLst>
        </xdr:cNvPr>
        <xdr:cNvSpPr/>
      </xdr:nvSpPr>
      <xdr:spPr>
        <a:xfrm>
          <a:off x="23330386" y="18878313"/>
          <a:ext cx="919348" cy="2438400"/>
        </a:xfrm>
        <a:prstGeom prst="rect">
          <a:avLst/>
        </a:prstGeom>
        <a:noFill/>
        <a:ln w="7620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800" kern="1200">
              <a:solidFill>
                <a:schemeClr val="tx1"/>
              </a:solidFill>
              <a:latin typeface="+mn-lt"/>
              <a:ea typeface="+mn-ea"/>
              <a:cs typeface="+mn-cs"/>
            </a:rPr>
            <a:t>G</a:t>
          </a:r>
        </a:p>
      </xdr:txBody>
    </xdr:sp>
    <xdr:clientData/>
  </xdr:twoCellAnchor>
  <xdr:twoCellAnchor>
    <xdr:from>
      <xdr:col>14</xdr:col>
      <xdr:colOff>20040</xdr:colOff>
      <xdr:row>42</xdr:row>
      <xdr:rowOff>120237</xdr:rowOff>
    </xdr:from>
    <xdr:to>
      <xdr:col>32</xdr:col>
      <xdr:colOff>142505</xdr:colOff>
      <xdr:row>46</xdr:row>
      <xdr:rowOff>242702</xdr:rowOff>
    </xdr:to>
    <xdr:sp macro="" textlink="">
      <xdr:nvSpPr>
        <xdr:cNvPr id="6" name="TextBox 5">
          <a:extLst>
            <a:ext uri="{FF2B5EF4-FFF2-40B4-BE49-F238E27FC236}">
              <a16:creationId xmlns:a16="http://schemas.microsoft.com/office/drawing/2014/main" id="{9765E76C-0740-453A-82FB-150F0D41257A}"/>
            </a:ext>
          </a:extLst>
        </xdr:cNvPr>
        <xdr:cNvSpPr txBox="1"/>
      </xdr:nvSpPr>
      <xdr:spPr>
        <a:xfrm>
          <a:off x="9337222" y="16018328"/>
          <a:ext cx="6357010" cy="16464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kern="1200"/>
            <a:t>DATES</a:t>
          </a:r>
          <a:r>
            <a:rPr lang="en-US" sz="2400" kern="1200" baseline="0"/>
            <a:t> DUE ARE UNKNOWN, WILL ADJUST ONCE DATES ARE GIVEN</a:t>
          </a:r>
          <a:br>
            <a:rPr lang="en-US" sz="2400" kern="1200" baseline="0"/>
          </a:br>
          <a:r>
            <a:rPr lang="en-US" sz="2400" kern="1200" baseline="0"/>
            <a:t>(this is a draft - will be updated for final)</a:t>
          </a:r>
          <a:endParaRPr lang="en-US" sz="2400" kern="1200"/>
        </a:p>
      </xdr:txBody>
    </xdr:sp>
    <xdr:clientData/>
  </xdr:twoCellAnchor>
  <xdr:twoCellAnchor>
    <xdr:from>
      <xdr:col>13</xdr:col>
      <xdr:colOff>273876</xdr:colOff>
      <xdr:row>50</xdr:row>
      <xdr:rowOff>367887</xdr:rowOff>
    </xdr:from>
    <xdr:to>
      <xdr:col>32</xdr:col>
      <xdr:colOff>49977</xdr:colOff>
      <xdr:row>55</xdr:row>
      <xdr:rowOff>109352</xdr:rowOff>
    </xdr:to>
    <xdr:sp macro="" textlink="">
      <xdr:nvSpPr>
        <xdr:cNvPr id="7" name="TextBox 6">
          <a:extLst>
            <a:ext uri="{FF2B5EF4-FFF2-40B4-BE49-F238E27FC236}">
              <a16:creationId xmlns:a16="http://schemas.microsoft.com/office/drawing/2014/main" id="{D81BC6E6-DC67-478F-A96A-34AB9106E840}"/>
            </a:ext>
          </a:extLst>
        </xdr:cNvPr>
        <xdr:cNvSpPr txBox="1"/>
      </xdr:nvSpPr>
      <xdr:spPr>
        <a:xfrm>
          <a:off x="9244694" y="19313978"/>
          <a:ext cx="6357010" cy="16464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kern="1200"/>
            <a:t>DATES DUE ARE UNKNOWN, WILL ADJUST ONCE DATES ARE GIVEN</a:t>
          </a:r>
          <a:br>
            <a:rPr lang="en-US" sz="2400" kern="1200"/>
          </a:br>
          <a:r>
            <a:rPr lang="en-US" sz="2400" kern="1200"/>
            <a:t>(this is a draft - will be updated for final)</a:t>
          </a:r>
        </a:p>
      </xdr:txBody>
    </xdr:sp>
    <xdr:clientData/>
  </xdr:twoCellAnchor>
  <xdr:twoCellAnchor>
    <xdr:from>
      <xdr:col>30</xdr:col>
      <xdr:colOff>111579</xdr:colOff>
      <xdr:row>14</xdr:row>
      <xdr:rowOff>302078</xdr:rowOff>
    </xdr:from>
    <xdr:to>
      <xdr:col>48</xdr:col>
      <xdr:colOff>234044</xdr:colOff>
      <xdr:row>19</xdr:row>
      <xdr:rowOff>43543</xdr:rowOff>
    </xdr:to>
    <xdr:sp macro="" textlink="">
      <xdr:nvSpPr>
        <xdr:cNvPr id="8" name="TextBox 7">
          <a:extLst>
            <a:ext uri="{FF2B5EF4-FFF2-40B4-BE49-F238E27FC236}">
              <a16:creationId xmlns:a16="http://schemas.microsoft.com/office/drawing/2014/main" id="{3890878F-55B4-49AB-B2B3-A906C262C63B}"/>
            </a:ext>
          </a:extLst>
        </xdr:cNvPr>
        <xdr:cNvSpPr txBox="1"/>
      </xdr:nvSpPr>
      <xdr:spPr>
        <a:xfrm>
          <a:off x="15120258" y="5527221"/>
          <a:ext cx="6490607" cy="16464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kern="1200"/>
            <a:t>DATES DUE ARE UNKNOWN, WILL ADJUST ONCE DATES ARE GIVEN</a:t>
          </a:r>
          <a:br>
            <a:rPr lang="en-US" sz="2400" kern="1200"/>
          </a:br>
          <a:r>
            <a:rPr lang="en-US" sz="2400" kern="1200"/>
            <a:t>(this is a draft - will be updated for final)</a:t>
          </a:r>
        </a:p>
      </xdr:txBody>
    </xdr:sp>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H57"/>
  <sheetViews>
    <sheetView showGridLines="0" tabSelected="1" showRuler="0" topLeftCell="A3" zoomScale="70" zoomScaleNormal="70" zoomScalePageLayoutView="70" workbookViewId="0">
      <selection activeCell="D23" sqref="D23"/>
    </sheetView>
  </sheetViews>
  <sheetFormatPr defaultColWidth="8.625" defaultRowHeight="30" customHeight="1" x14ac:dyDescent="0.2"/>
  <cols>
    <col min="1" max="1" width="2.625" style="4" customWidth="1"/>
    <col min="2" max="2" width="45.375" customWidth="1"/>
    <col min="3" max="3" width="12" bestFit="1" customWidth="1"/>
    <col min="4" max="4" width="10.625" customWidth="1"/>
    <col min="5" max="5" width="10.625" style="2" customWidth="1"/>
    <col min="6" max="6" width="10.625" customWidth="1"/>
    <col min="7" max="7" width="2.625" customWidth="1"/>
    <col min="8" max="8" width="6" hidden="1" customWidth="1"/>
    <col min="9" max="50" width="4.625" customWidth="1"/>
    <col min="51" max="51" width="2.625" customWidth="1"/>
    <col min="56" max="56" width="9.5" customWidth="1"/>
    <col min="57" max="57" width="9.375" customWidth="1"/>
  </cols>
  <sheetData>
    <row r="1" spans="1:60" ht="81.75" customHeight="1" x14ac:dyDescent="0.5">
      <c r="A1" s="5"/>
      <c r="B1" s="69" t="s">
        <v>36</v>
      </c>
      <c r="C1" s="7"/>
      <c r="D1" s="8"/>
      <c r="E1" s="9"/>
      <c r="F1" s="10"/>
      <c r="H1" s="1"/>
      <c r="I1" s="99" t="s">
        <v>0</v>
      </c>
      <c r="J1" s="100"/>
      <c r="K1" s="100"/>
      <c r="L1" s="100"/>
      <c r="M1" s="100"/>
      <c r="N1" s="100"/>
      <c r="O1" s="100"/>
      <c r="P1" s="11"/>
      <c r="Q1" s="98">
        <v>46079</v>
      </c>
      <c r="R1" s="97"/>
      <c r="S1" s="97"/>
      <c r="T1" s="97"/>
      <c r="U1" s="97"/>
      <c r="V1" s="97"/>
      <c r="W1" s="97"/>
      <c r="X1" s="97"/>
      <c r="Y1" s="97"/>
      <c r="Z1" s="97"/>
      <c r="AZ1" s="103" t="s">
        <v>35</v>
      </c>
      <c r="BA1" s="104"/>
      <c r="BB1" s="104"/>
      <c r="BC1" s="104"/>
      <c r="BD1" s="104"/>
      <c r="BE1" s="104"/>
      <c r="BF1" s="104"/>
      <c r="BG1" s="105"/>
      <c r="BH1" s="70"/>
    </row>
    <row r="2" spans="1:60" ht="30" customHeight="1" x14ac:dyDescent="0.5">
      <c r="B2" s="101" t="s">
        <v>37</v>
      </c>
      <c r="C2" s="101"/>
      <c r="D2" s="101"/>
      <c r="E2" s="101"/>
      <c r="F2" s="101"/>
      <c r="I2" s="99" t="s">
        <v>1</v>
      </c>
      <c r="J2" s="100"/>
      <c r="K2" s="100"/>
      <c r="L2" s="100"/>
      <c r="M2" s="100"/>
      <c r="N2" s="100"/>
      <c r="O2" s="100"/>
      <c r="P2" s="11"/>
      <c r="Q2" s="96">
        <v>1</v>
      </c>
      <c r="R2" s="97"/>
      <c r="S2" s="97"/>
      <c r="T2" s="97"/>
      <c r="U2" s="97"/>
      <c r="V2" s="97"/>
      <c r="W2" s="97"/>
      <c r="X2" s="97"/>
      <c r="Y2" s="97"/>
      <c r="Z2" s="97"/>
      <c r="AZ2" s="70"/>
      <c r="BB2" s="106" t="s">
        <v>30</v>
      </c>
      <c r="BC2" s="106"/>
      <c r="BD2" s="106"/>
      <c r="BE2" s="106"/>
      <c r="BF2" s="70"/>
      <c r="BH2" s="70"/>
    </row>
    <row r="3" spans="1:60" s="12" customFormat="1" ht="30" customHeight="1" x14ac:dyDescent="0.2">
      <c r="A3" s="4"/>
      <c r="B3" s="101"/>
      <c r="C3" s="101"/>
      <c r="D3" s="101"/>
      <c r="E3" s="101"/>
      <c r="F3" s="101"/>
      <c r="AZ3" s="76"/>
      <c r="BB3" s="106"/>
      <c r="BC3" s="106"/>
      <c r="BD3" s="106"/>
      <c r="BE3" s="106"/>
      <c r="BF3" s="71"/>
      <c r="BG3" s="77"/>
      <c r="BH3" s="71"/>
    </row>
    <row r="4" spans="1:60" s="12" customFormat="1" ht="30" customHeight="1" x14ac:dyDescent="0.2">
      <c r="A4" s="5"/>
      <c r="B4" s="13"/>
      <c r="E4" s="14"/>
      <c r="I4" s="102">
        <f>I5</f>
        <v>46076</v>
      </c>
      <c r="J4" s="95"/>
      <c r="K4" s="95"/>
      <c r="L4" s="95"/>
      <c r="M4" s="95"/>
      <c r="N4" s="95"/>
      <c r="O4" s="95"/>
      <c r="P4" s="95">
        <f>P5</f>
        <v>46083</v>
      </c>
      <c r="Q4" s="95"/>
      <c r="R4" s="95"/>
      <c r="S4" s="95"/>
      <c r="T4" s="95"/>
      <c r="U4" s="95"/>
      <c r="V4" s="95"/>
      <c r="W4" s="95">
        <f>W5</f>
        <v>46090</v>
      </c>
      <c r="X4" s="95"/>
      <c r="Y4" s="95"/>
      <c r="Z4" s="95"/>
      <c r="AA4" s="95"/>
      <c r="AB4" s="95"/>
      <c r="AC4" s="95"/>
      <c r="AD4" s="95">
        <f t="shared" ref="AD4" si="0">AD5</f>
        <v>46097</v>
      </c>
      <c r="AE4" s="95"/>
      <c r="AF4" s="95"/>
      <c r="AG4" s="95"/>
      <c r="AH4" s="95"/>
      <c r="AI4" s="95"/>
      <c r="AJ4" s="95"/>
      <c r="AK4" s="95">
        <f t="shared" ref="AK4" si="1">AK5</f>
        <v>46104</v>
      </c>
      <c r="AL4" s="95"/>
      <c r="AM4" s="95"/>
      <c r="AN4" s="95"/>
      <c r="AO4" s="95"/>
      <c r="AP4" s="95"/>
      <c r="AQ4" s="95"/>
      <c r="AR4" s="95">
        <v>46101</v>
      </c>
      <c r="AS4" s="95"/>
      <c r="AT4" s="95"/>
      <c r="AU4" s="95"/>
      <c r="AV4" s="95"/>
      <c r="AW4" s="95"/>
      <c r="AX4" s="95"/>
      <c r="AZ4" s="71"/>
      <c r="BH4" s="71"/>
    </row>
    <row r="5" spans="1:60" s="12" customFormat="1" ht="15" customHeight="1" x14ac:dyDescent="0.2">
      <c r="A5" s="89"/>
      <c r="B5" s="90" t="s">
        <v>2</v>
      </c>
      <c r="C5" s="92" t="s">
        <v>3</v>
      </c>
      <c r="D5" s="94" t="s">
        <v>4</v>
      </c>
      <c r="E5" s="94" t="s">
        <v>5</v>
      </c>
      <c r="F5" s="94" t="s">
        <v>6</v>
      </c>
      <c r="I5" s="15">
        <f>Project_Start-WEEKDAY(Project_Start,1)+2+7*(Display_Week-1)</f>
        <v>46076</v>
      </c>
      <c r="J5" s="15">
        <f>I5+1</f>
        <v>46077</v>
      </c>
      <c r="K5" s="15">
        <f t="shared" ref="K5:AC5" si="2">J5+1</f>
        <v>46078</v>
      </c>
      <c r="L5" s="15">
        <f t="shared" si="2"/>
        <v>46079</v>
      </c>
      <c r="M5" s="15">
        <f t="shared" si="2"/>
        <v>46080</v>
      </c>
      <c r="N5" s="15">
        <f t="shared" si="2"/>
        <v>46081</v>
      </c>
      <c r="O5" s="16">
        <f t="shared" si="2"/>
        <v>46082</v>
      </c>
      <c r="P5" s="17">
        <f>O5+1</f>
        <v>46083</v>
      </c>
      <c r="Q5" s="15">
        <f>P5+1</f>
        <v>46084</v>
      </c>
      <c r="R5" s="15">
        <f t="shared" si="2"/>
        <v>46085</v>
      </c>
      <c r="S5" s="15">
        <f t="shared" si="2"/>
        <v>46086</v>
      </c>
      <c r="T5" s="15">
        <f t="shared" si="2"/>
        <v>46087</v>
      </c>
      <c r="U5" s="15">
        <f t="shared" si="2"/>
        <v>46088</v>
      </c>
      <c r="V5" s="16">
        <f t="shared" si="2"/>
        <v>46089</v>
      </c>
      <c r="W5" s="17">
        <f>V5+1</f>
        <v>46090</v>
      </c>
      <c r="X5" s="15">
        <f>W5+1</f>
        <v>46091</v>
      </c>
      <c r="Y5" s="15">
        <f t="shared" si="2"/>
        <v>46092</v>
      </c>
      <c r="Z5" s="15">
        <f t="shared" si="2"/>
        <v>46093</v>
      </c>
      <c r="AA5" s="15">
        <f t="shared" si="2"/>
        <v>46094</v>
      </c>
      <c r="AB5" s="15">
        <f t="shared" si="2"/>
        <v>46095</v>
      </c>
      <c r="AC5" s="16">
        <f t="shared" si="2"/>
        <v>46096</v>
      </c>
      <c r="AD5" s="17">
        <f t="shared" ref="AD5" si="3">AC5+1</f>
        <v>46097</v>
      </c>
      <c r="AE5" s="15">
        <f t="shared" ref="AE5" si="4">AD5+1</f>
        <v>46098</v>
      </c>
      <c r="AF5" s="15">
        <f t="shared" ref="AF5" si="5">AE5+1</f>
        <v>46099</v>
      </c>
      <c r="AG5" s="15">
        <f t="shared" ref="AG5" si="6">AF5+1</f>
        <v>46100</v>
      </c>
      <c r="AH5" s="15">
        <f t="shared" ref="AH5" si="7">AG5+1</f>
        <v>46101</v>
      </c>
      <c r="AI5" s="15">
        <f t="shared" ref="AI5" si="8">AH5+1</f>
        <v>46102</v>
      </c>
      <c r="AJ5" s="16">
        <f t="shared" ref="AJ5" si="9">AI5+1</f>
        <v>46103</v>
      </c>
      <c r="AK5" s="17">
        <f t="shared" ref="AK5" si="10">AJ5+1</f>
        <v>46104</v>
      </c>
      <c r="AL5" s="15">
        <f t="shared" ref="AL5" si="11">AK5+1</f>
        <v>46105</v>
      </c>
      <c r="AM5" s="15">
        <f t="shared" ref="AM5" si="12">AL5+1</f>
        <v>46106</v>
      </c>
      <c r="AN5" s="15">
        <f t="shared" ref="AN5" si="13">AM5+1</f>
        <v>46107</v>
      </c>
      <c r="AO5" s="15">
        <f t="shared" ref="AO5" si="14">AN5+1</f>
        <v>46108</v>
      </c>
      <c r="AP5" s="15">
        <f t="shared" ref="AP5" si="15">AO5+1</f>
        <v>46109</v>
      </c>
      <c r="AQ5" s="16">
        <f t="shared" ref="AQ5" si="16">AP5+1</f>
        <v>46110</v>
      </c>
      <c r="AR5" s="17">
        <f t="shared" ref="AR5" si="17">AQ5+1</f>
        <v>46111</v>
      </c>
      <c r="AS5" s="15">
        <f t="shared" ref="AS5" si="18">AR5+1</f>
        <v>46112</v>
      </c>
      <c r="AT5" s="15">
        <f t="shared" ref="AT5" si="19">AS5+1</f>
        <v>46113</v>
      </c>
      <c r="AU5" s="15">
        <f t="shared" ref="AU5" si="20">AT5+1</f>
        <v>46114</v>
      </c>
      <c r="AV5" s="15">
        <f t="shared" ref="AV5" si="21">AU5+1</f>
        <v>46115</v>
      </c>
      <c r="AW5" s="15">
        <f t="shared" ref="AW5" si="22">AV5+1</f>
        <v>46116</v>
      </c>
      <c r="AX5" s="16">
        <f t="shared" ref="AX5" si="23">AW5+1</f>
        <v>46117</v>
      </c>
      <c r="AZ5" s="71"/>
      <c r="BH5" s="71"/>
    </row>
    <row r="6" spans="1:60" s="12" customFormat="1" ht="15" customHeight="1" thickBot="1" x14ac:dyDescent="0.25">
      <c r="A6" s="89"/>
      <c r="B6" s="91"/>
      <c r="C6" s="93"/>
      <c r="D6" s="93"/>
      <c r="E6" s="93"/>
      <c r="F6" s="93"/>
      <c r="I6" s="18" t="str">
        <f t="shared" ref="I6:AX6" si="24">LEFT(TEXT(I5,"ddd"),1)</f>
        <v>M</v>
      </c>
      <c r="J6" s="19" t="str">
        <f t="shared" si="24"/>
        <v>T</v>
      </c>
      <c r="K6" s="19" t="str">
        <f t="shared" si="24"/>
        <v>W</v>
      </c>
      <c r="L6" s="19" t="str">
        <f t="shared" si="24"/>
        <v>T</v>
      </c>
      <c r="M6" s="19" t="str">
        <f t="shared" si="24"/>
        <v>F</v>
      </c>
      <c r="N6" s="19" t="str">
        <f t="shared" si="24"/>
        <v>S</v>
      </c>
      <c r="O6" s="19" t="str">
        <f t="shared" si="24"/>
        <v>S</v>
      </c>
      <c r="P6" s="19" t="str">
        <f t="shared" si="24"/>
        <v>M</v>
      </c>
      <c r="Q6" s="19" t="str">
        <f t="shared" si="24"/>
        <v>T</v>
      </c>
      <c r="R6" s="19" t="str">
        <f t="shared" si="24"/>
        <v>W</v>
      </c>
      <c r="S6" s="19" t="str">
        <f t="shared" si="24"/>
        <v>T</v>
      </c>
      <c r="T6" s="19" t="str">
        <f t="shared" si="24"/>
        <v>F</v>
      </c>
      <c r="U6" s="19" t="str">
        <f t="shared" si="24"/>
        <v>S</v>
      </c>
      <c r="V6" s="19" t="str">
        <f t="shared" si="24"/>
        <v>S</v>
      </c>
      <c r="W6" s="19" t="str">
        <f t="shared" si="24"/>
        <v>M</v>
      </c>
      <c r="X6" s="19" t="str">
        <f t="shared" si="24"/>
        <v>T</v>
      </c>
      <c r="Y6" s="19" t="str">
        <f t="shared" si="24"/>
        <v>W</v>
      </c>
      <c r="Z6" s="19" t="str">
        <f t="shared" si="24"/>
        <v>T</v>
      </c>
      <c r="AA6" s="19" t="str">
        <f t="shared" si="24"/>
        <v>F</v>
      </c>
      <c r="AB6" s="19" t="str">
        <f t="shared" si="24"/>
        <v>S</v>
      </c>
      <c r="AC6" s="19" t="str">
        <f t="shared" si="24"/>
        <v>S</v>
      </c>
      <c r="AD6" s="19" t="str">
        <f t="shared" si="24"/>
        <v>M</v>
      </c>
      <c r="AE6" s="19" t="str">
        <f t="shared" si="24"/>
        <v>T</v>
      </c>
      <c r="AF6" s="19" t="str">
        <f t="shared" si="24"/>
        <v>W</v>
      </c>
      <c r="AG6" s="19" t="str">
        <f t="shared" si="24"/>
        <v>T</v>
      </c>
      <c r="AH6" s="19" t="str">
        <f t="shared" si="24"/>
        <v>F</v>
      </c>
      <c r="AI6" s="19" t="str">
        <f t="shared" si="24"/>
        <v>S</v>
      </c>
      <c r="AJ6" s="19" t="str">
        <f t="shared" si="24"/>
        <v>S</v>
      </c>
      <c r="AK6" s="19" t="str">
        <f t="shared" si="24"/>
        <v>M</v>
      </c>
      <c r="AL6" s="19" t="str">
        <f t="shared" si="24"/>
        <v>T</v>
      </c>
      <c r="AM6" s="19" t="str">
        <f t="shared" si="24"/>
        <v>W</v>
      </c>
      <c r="AN6" s="19" t="str">
        <f t="shared" si="24"/>
        <v>T</v>
      </c>
      <c r="AO6" s="19" t="str">
        <f t="shared" si="24"/>
        <v>F</v>
      </c>
      <c r="AP6" s="19" t="str">
        <f t="shared" si="24"/>
        <v>S</v>
      </c>
      <c r="AQ6" s="19" t="str">
        <f t="shared" si="24"/>
        <v>S</v>
      </c>
      <c r="AR6" s="19" t="str">
        <f t="shared" si="24"/>
        <v>M</v>
      </c>
      <c r="AS6" s="19" t="str">
        <f t="shared" si="24"/>
        <v>T</v>
      </c>
      <c r="AT6" s="19" t="str">
        <f t="shared" si="24"/>
        <v>W</v>
      </c>
      <c r="AU6" s="19" t="str">
        <f t="shared" si="24"/>
        <v>T</v>
      </c>
      <c r="AV6" s="19" t="str">
        <f t="shared" si="24"/>
        <v>F</v>
      </c>
      <c r="AW6" s="19" t="str">
        <f t="shared" si="24"/>
        <v>S</v>
      </c>
      <c r="AX6" s="19" t="str">
        <f t="shared" si="24"/>
        <v>S</v>
      </c>
      <c r="AZ6" s="71"/>
      <c r="BH6" s="71"/>
    </row>
    <row r="7" spans="1:60" s="12" customFormat="1" ht="30" hidden="1" customHeight="1" thickBot="1" x14ac:dyDescent="0.25">
      <c r="A7" s="4" t="s">
        <v>7</v>
      </c>
      <c r="B7" s="20"/>
      <c r="C7" s="21"/>
      <c r="D7" s="20"/>
      <c r="E7" s="20"/>
      <c r="F7" s="20"/>
      <c r="H7" s="12" t="str">
        <f>IF(OR(ISBLANK(task_start),ISBLANK(task_end)),"",task_end-task_start+1)</f>
        <v/>
      </c>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Z7" s="71"/>
      <c r="BB7" s="71"/>
      <c r="BD7" s="71"/>
      <c r="BF7" s="71"/>
      <c r="BH7" s="71"/>
    </row>
    <row r="8" spans="1:60" s="29" customFormat="1" ht="30" customHeight="1" thickBot="1" x14ac:dyDescent="0.25">
      <c r="A8" s="5"/>
      <c r="B8" s="23" t="s">
        <v>8</v>
      </c>
      <c r="C8" s="24"/>
      <c r="D8" s="25"/>
      <c r="E8" s="26"/>
      <c r="F8" s="27"/>
      <c r="G8" s="6"/>
      <c r="H8" s="3" t="str">
        <f t="shared" ref="H8:H35" si="25">IF(OR(ISBLANK(task_start),ISBLANK(task_end)),"",task_end-task_start+1)</f>
        <v/>
      </c>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Z8" s="107" t="s">
        <v>34</v>
      </c>
      <c r="BA8" s="107"/>
      <c r="BB8" s="107" t="s">
        <v>33</v>
      </c>
      <c r="BC8" s="107"/>
      <c r="BD8" s="107" t="s">
        <v>32</v>
      </c>
      <c r="BE8" s="107"/>
      <c r="BF8" s="107" t="s">
        <v>31</v>
      </c>
      <c r="BG8" s="107"/>
      <c r="BH8" s="72"/>
    </row>
    <row r="9" spans="1:60" s="29" customFormat="1" ht="30" customHeight="1" thickBot="1" x14ac:dyDescent="0.25">
      <c r="A9" s="5"/>
      <c r="B9" s="30" t="s">
        <v>17</v>
      </c>
      <c r="C9" s="31" t="s">
        <v>37</v>
      </c>
      <c r="D9" s="32">
        <v>0</v>
      </c>
      <c r="E9" s="33">
        <v>46079</v>
      </c>
      <c r="F9" s="33">
        <v>46079</v>
      </c>
      <c r="G9" s="6"/>
      <c r="H9" s="3">
        <f t="shared" si="25"/>
        <v>1</v>
      </c>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Z9" s="72"/>
      <c r="BB9" s="72"/>
      <c r="BD9" s="72"/>
      <c r="BF9" s="72"/>
      <c r="BH9" s="72"/>
    </row>
    <row r="10" spans="1:60" s="29" customFormat="1" ht="30" customHeight="1" thickBot="1" x14ac:dyDescent="0.25">
      <c r="A10" s="5"/>
      <c r="B10" s="35" t="s">
        <v>18</v>
      </c>
      <c r="C10" s="31" t="s">
        <v>37</v>
      </c>
      <c r="D10" s="37">
        <v>0</v>
      </c>
      <c r="E10" s="38">
        <v>46079</v>
      </c>
      <c r="F10" s="38">
        <v>46101</v>
      </c>
      <c r="G10" s="6"/>
      <c r="H10" s="3">
        <f t="shared" si="25"/>
        <v>23</v>
      </c>
      <c r="I10" s="34"/>
      <c r="J10" s="34"/>
      <c r="K10" s="34"/>
      <c r="L10" s="34"/>
      <c r="M10" s="34"/>
      <c r="N10" s="34"/>
      <c r="O10" s="34"/>
      <c r="P10" s="34"/>
      <c r="Q10" s="34"/>
      <c r="R10" s="34"/>
      <c r="S10" s="34"/>
      <c r="T10" s="34"/>
      <c r="U10" s="39"/>
      <c r="V10" s="39"/>
      <c r="W10" s="34"/>
      <c r="X10" s="34"/>
      <c r="Y10" s="34"/>
      <c r="Z10" s="34"/>
      <c r="AA10" s="34"/>
      <c r="AB10" s="39"/>
      <c r="AC10" s="39"/>
      <c r="AD10" s="34"/>
      <c r="AE10" s="34"/>
      <c r="AF10" s="34"/>
      <c r="AG10" s="34"/>
      <c r="AH10" s="34"/>
      <c r="AI10" s="39"/>
      <c r="AJ10" s="39"/>
      <c r="AK10" s="34"/>
      <c r="AL10" s="34"/>
      <c r="AM10" s="34"/>
      <c r="AN10" s="34"/>
      <c r="AO10" s="34"/>
      <c r="AP10" s="39"/>
      <c r="AQ10" s="39"/>
      <c r="AR10" s="34"/>
      <c r="AS10" s="34"/>
      <c r="AT10" s="34"/>
      <c r="AU10" s="34"/>
      <c r="AV10" s="34"/>
      <c r="AW10" s="39"/>
      <c r="AX10" s="39"/>
      <c r="AZ10" s="72"/>
      <c r="BB10" s="72"/>
      <c r="BD10" s="72"/>
      <c r="BF10" s="72"/>
      <c r="BH10" s="72"/>
    </row>
    <row r="11" spans="1:60" s="29" customFormat="1" ht="30" customHeight="1" thickBot="1" x14ac:dyDescent="0.25">
      <c r="A11" s="4"/>
      <c r="B11" s="35" t="s">
        <v>28</v>
      </c>
      <c r="C11" s="31" t="s">
        <v>37</v>
      </c>
      <c r="D11" s="37">
        <v>0</v>
      </c>
      <c r="E11" s="38">
        <v>46101</v>
      </c>
      <c r="F11" s="38">
        <v>46108</v>
      </c>
      <c r="G11" s="6"/>
      <c r="H11" s="3">
        <f t="shared" si="25"/>
        <v>8</v>
      </c>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Z11" s="72"/>
      <c r="BB11" s="72"/>
      <c r="BD11" s="72"/>
      <c r="BF11" s="72"/>
      <c r="BH11" s="72"/>
    </row>
    <row r="12" spans="1:60" s="29" customFormat="1" ht="30" customHeight="1" thickBot="1" x14ac:dyDescent="0.25">
      <c r="A12" s="4"/>
      <c r="B12" s="35" t="s">
        <v>29</v>
      </c>
      <c r="C12" s="36" t="s">
        <v>37</v>
      </c>
      <c r="D12" s="37">
        <v>0</v>
      </c>
      <c r="E12" s="38">
        <v>46105</v>
      </c>
      <c r="F12" s="38">
        <v>46108</v>
      </c>
      <c r="G12" s="6"/>
      <c r="H12" s="3">
        <f t="shared" si="25"/>
        <v>4</v>
      </c>
      <c r="I12" s="34"/>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34"/>
      <c r="AW12" s="34"/>
      <c r="AX12" s="34"/>
      <c r="AZ12" s="72"/>
      <c r="BB12" s="72"/>
      <c r="BD12" s="72"/>
      <c r="BF12" s="72"/>
      <c r="BH12" s="72"/>
    </row>
    <row r="13" spans="1:60" s="29" customFormat="1" ht="30" customHeight="1" thickBot="1" x14ac:dyDescent="0.25">
      <c r="A13" s="4"/>
      <c r="B13" s="35" t="s">
        <v>19</v>
      </c>
      <c r="C13" s="36" t="s">
        <v>37</v>
      </c>
      <c r="D13" s="37">
        <v>0</v>
      </c>
      <c r="E13" s="38">
        <v>46108</v>
      </c>
      <c r="F13" s="38">
        <v>46112</v>
      </c>
      <c r="G13" s="6"/>
      <c r="H13" s="3">
        <f t="shared" si="25"/>
        <v>5</v>
      </c>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Z13" s="78"/>
      <c r="BA13" s="80"/>
      <c r="BB13" s="78"/>
      <c r="BD13" s="72"/>
      <c r="BF13" s="78"/>
      <c r="BG13" s="79"/>
      <c r="BH13" s="72"/>
    </row>
    <row r="14" spans="1:60" s="29" customFormat="1" ht="30" customHeight="1" thickBot="1" x14ac:dyDescent="0.25">
      <c r="A14" s="5"/>
      <c r="B14" s="40" t="s">
        <v>9</v>
      </c>
      <c r="C14" s="41"/>
      <c r="D14" s="42"/>
      <c r="E14" s="43"/>
      <c r="F14" s="44"/>
      <c r="G14" s="6"/>
      <c r="H14" s="3" t="str">
        <f t="shared" si="25"/>
        <v/>
      </c>
      <c r="AZ14" s="78"/>
      <c r="BA14" s="82"/>
      <c r="BB14" s="82"/>
      <c r="BC14" s="82"/>
      <c r="BD14" s="81"/>
      <c r="BE14" s="82"/>
      <c r="BF14" s="82"/>
      <c r="BG14" s="79"/>
      <c r="BH14" s="72"/>
    </row>
    <row r="15" spans="1:60" s="29" customFormat="1" ht="30" customHeight="1" thickBot="1" x14ac:dyDescent="0.25">
      <c r="A15" s="5"/>
      <c r="B15" s="45" t="s">
        <v>14</v>
      </c>
      <c r="C15" s="46" t="s">
        <v>37</v>
      </c>
      <c r="D15" s="47">
        <v>0</v>
      </c>
      <c r="E15" s="48">
        <v>46077</v>
      </c>
      <c r="F15" s="48">
        <v>46079</v>
      </c>
      <c r="G15" s="6"/>
      <c r="H15" s="3">
        <f t="shared" si="25"/>
        <v>3</v>
      </c>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Z15" s="72"/>
      <c r="BB15" s="72"/>
      <c r="BD15" s="83"/>
      <c r="BF15" s="72"/>
      <c r="BH15" s="72"/>
    </row>
    <row r="16" spans="1:60" s="29" customFormat="1" ht="30" customHeight="1" thickBot="1" x14ac:dyDescent="0.25">
      <c r="A16" s="4"/>
      <c r="B16" s="45" t="s">
        <v>21</v>
      </c>
      <c r="C16" s="46" t="s">
        <v>37</v>
      </c>
      <c r="D16" s="47">
        <v>0</v>
      </c>
      <c r="E16" s="48">
        <v>46078</v>
      </c>
      <c r="F16" s="48">
        <v>46084</v>
      </c>
      <c r="G16" s="6"/>
      <c r="H16" s="3">
        <f t="shared" si="25"/>
        <v>7</v>
      </c>
      <c r="I16" s="34"/>
      <c r="J16" s="34"/>
      <c r="K16" s="34"/>
      <c r="L16" s="34"/>
      <c r="M16" s="34"/>
      <c r="N16" s="34"/>
      <c r="O16" s="34"/>
      <c r="P16" s="34"/>
      <c r="Q16" s="34"/>
      <c r="R16" s="34"/>
      <c r="S16" s="34"/>
      <c r="T16" s="34"/>
      <c r="U16" s="39"/>
      <c r="V16" s="39"/>
      <c r="W16" s="34"/>
      <c r="X16" s="34"/>
      <c r="Y16" s="34"/>
      <c r="Z16" s="34"/>
      <c r="AA16" s="34"/>
      <c r="AB16" s="39"/>
      <c r="AC16" s="39"/>
      <c r="AD16" s="34"/>
      <c r="AE16" s="34"/>
      <c r="AF16" s="34"/>
      <c r="AG16" s="34"/>
      <c r="AH16" s="34"/>
      <c r="AI16" s="39"/>
      <c r="AJ16" s="39"/>
      <c r="AK16" s="34"/>
      <c r="AL16" s="34"/>
      <c r="AM16" s="34"/>
      <c r="AN16" s="34"/>
      <c r="AO16" s="34"/>
      <c r="AP16" s="39"/>
      <c r="AQ16" s="39"/>
      <c r="AR16" s="34"/>
      <c r="AS16" s="34"/>
      <c r="AT16" s="34"/>
      <c r="AU16" s="34"/>
      <c r="AV16" s="34"/>
      <c r="AW16" s="39"/>
      <c r="AX16" s="39"/>
      <c r="AZ16" s="72"/>
      <c r="BB16" s="72"/>
      <c r="BD16" s="72"/>
      <c r="BF16" s="72"/>
      <c r="BH16" s="72"/>
    </row>
    <row r="17" spans="1:60" s="29" customFormat="1" ht="30" customHeight="1" thickBot="1" x14ac:dyDescent="0.25">
      <c r="A17" s="4"/>
      <c r="B17" s="45" t="s">
        <v>38</v>
      </c>
      <c r="C17" s="46" t="s">
        <v>37</v>
      </c>
      <c r="D17" s="47">
        <v>0</v>
      </c>
      <c r="E17" s="48">
        <v>46081</v>
      </c>
      <c r="F17" s="48">
        <v>46085</v>
      </c>
      <c r="G17" s="6"/>
      <c r="H17" s="3"/>
      <c r="I17" s="34"/>
      <c r="J17" s="34"/>
      <c r="K17" s="34"/>
      <c r="L17" s="34"/>
      <c r="M17" s="34"/>
      <c r="N17" s="34"/>
      <c r="O17" s="34"/>
      <c r="P17" s="34"/>
      <c r="Q17" s="34"/>
      <c r="R17" s="34"/>
      <c r="S17" s="34"/>
      <c r="T17" s="34"/>
      <c r="U17" s="39"/>
      <c r="V17" s="39"/>
      <c r="W17" s="34"/>
      <c r="X17" s="34"/>
      <c r="Y17" s="34"/>
      <c r="Z17" s="34"/>
      <c r="AA17" s="34"/>
      <c r="AB17" s="39"/>
      <c r="AC17" s="39"/>
      <c r="AD17" s="34"/>
      <c r="AE17" s="34"/>
      <c r="AF17" s="34"/>
      <c r="AG17" s="34"/>
      <c r="AH17" s="34"/>
      <c r="AI17" s="39"/>
      <c r="AJ17" s="39"/>
      <c r="AK17" s="34"/>
      <c r="AL17" s="34"/>
      <c r="AM17" s="34"/>
      <c r="AN17" s="34"/>
      <c r="AO17" s="34"/>
      <c r="AP17" s="39"/>
      <c r="AQ17" s="39"/>
      <c r="AR17" s="34"/>
      <c r="AS17" s="34"/>
      <c r="AT17" s="34"/>
      <c r="AU17" s="34"/>
      <c r="AV17" s="34"/>
      <c r="AW17" s="39"/>
      <c r="AX17" s="39"/>
      <c r="AZ17" s="72"/>
      <c r="BB17" s="72"/>
      <c r="BD17" s="72"/>
      <c r="BF17" s="72"/>
      <c r="BH17" s="72"/>
    </row>
    <row r="18" spans="1:60" s="29" customFormat="1" ht="30" customHeight="1" thickBot="1" x14ac:dyDescent="0.25">
      <c r="A18" s="4"/>
      <c r="B18" s="45" t="s">
        <v>39</v>
      </c>
      <c r="C18" s="46" t="s">
        <v>37</v>
      </c>
      <c r="D18" s="47">
        <v>0</v>
      </c>
      <c r="E18" s="48">
        <v>46082</v>
      </c>
      <c r="F18" s="48">
        <v>46086</v>
      </c>
      <c r="G18" s="6"/>
      <c r="H18" s="3">
        <f t="shared" si="25"/>
        <v>5</v>
      </c>
      <c r="I18" s="34"/>
      <c r="J18" s="34"/>
      <c r="K18" s="34"/>
      <c r="L18" s="34"/>
      <c r="M18" s="34"/>
      <c r="N18" s="34"/>
      <c r="O18" s="34"/>
      <c r="P18" s="34"/>
      <c r="Q18" s="34"/>
      <c r="R18" s="34"/>
      <c r="S18" s="34"/>
      <c r="T18" s="34"/>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Z18" s="72"/>
      <c r="BB18" s="72"/>
      <c r="BD18" s="72"/>
      <c r="BF18" s="72"/>
      <c r="BH18" s="72"/>
    </row>
    <row r="19" spans="1:60" s="29" customFormat="1" ht="30" customHeight="1" thickBot="1" x14ac:dyDescent="0.25">
      <c r="A19" s="4"/>
      <c r="B19" s="45" t="s">
        <v>20</v>
      </c>
      <c r="C19" s="46" t="s">
        <v>37</v>
      </c>
      <c r="D19" s="47">
        <v>0</v>
      </c>
      <c r="E19" s="48">
        <v>46086</v>
      </c>
      <c r="F19" s="48">
        <v>46087</v>
      </c>
      <c r="G19" s="6"/>
      <c r="H19" s="3">
        <f t="shared" si="25"/>
        <v>2</v>
      </c>
      <c r="I19" s="34"/>
      <c r="J19" s="34"/>
      <c r="K19" s="34"/>
      <c r="L19" s="34"/>
      <c r="M19" s="34"/>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Z19" s="72"/>
      <c r="BB19" s="72"/>
      <c r="BD19" s="72"/>
      <c r="BF19" s="72"/>
      <c r="BH19" s="72"/>
    </row>
    <row r="20" spans="1:60" s="29" customFormat="1" ht="30" customHeight="1" thickBot="1" x14ac:dyDescent="0.25">
      <c r="A20" s="4"/>
      <c r="B20" s="45" t="s">
        <v>22</v>
      </c>
      <c r="C20" s="46" t="s">
        <v>37</v>
      </c>
      <c r="D20" s="47">
        <v>0</v>
      </c>
      <c r="E20" s="48">
        <v>46087</v>
      </c>
      <c r="F20" s="48">
        <v>46088</v>
      </c>
      <c r="G20" s="6"/>
      <c r="H20" s="3">
        <f t="shared" si="25"/>
        <v>2</v>
      </c>
      <c r="I20" s="34"/>
      <c r="J20" s="34"/>
      <c r="K20" s="34"/>
      <c r="L20" s="34"/>
      <c r="M20" s="34"/>
      <c r="N20" s="34"/>
      <c r="O20" s="34"/>
      <c r="P20" s="34"/>
      <c r="Q20" s="34"/>
      <c r="R20" s="34"/>
      <c r="S20" s="34"/>
      <c r="T20" s="34"/>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Z20" s="78"/>
      <c r="BA20" s="79"/>
      <c r="BB20" s="78"/>
      <c r="BC20" s="79"/>
      <c r="BD20" s="78"/>
      <c r="BE20" s="79"/>
      <c r="BF20" s="78"/>
      <c r="BG20" s="79"/>
      <c r="BH20" s="72"/>
    </row>
    <row r="21" spans="1:60" s="29" customFormat="1" ht="30" customHeight="1" thickBot="1" x14ac:dyDescent="0.25">
      <c r="A21" s="4"/>
      <c r="B21" s="49" t="s">
        <v>10</v>
      </c>
      <c r="C21" s="50"/>
      <c r="D21" s="51"/>
      <c r="E21" s="52"/>
      <c r="F21" s="53"/>
      <c r="G21" s="6"/>
      <c r="H21" s="3" t="str">
        <f t="shared" si="25"/>
        <v/>
      </c>
      <c r="I21" s="54"/>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Z21" s="78"/>
      <c r="BA21" s="82"/>
      <c r="BB21" s="82"/>
      <c r="BC21" s="82"/>
      <c r="BD21" s="82"/>
      <c r="BE21" s="82"/>
      <c r="BF21" s="82"/>
      <c r="BG21" s="79"/>
      <c r="BH21" s="72"/>
    </row>
    <row r="22" spans="1:60" s="29" customFormat="1" ht="30" customHeight="1" thickBot="1" x14ac:dyDescent="0.25">
      <c r="A22" s="4"/>
      <c r="B22" s="55" t="s">
        <v>14</v>
      </c>
      <c r="C22" s="56" t="s">
        <v>37</v>
      </c>
      <c r="D22" s="57">
        <v>1</v>
      </c>
      <c r="E22" s="58">
        <v>46076</v>
      </c>
      <c r="F22" s="58">
        <v>46078</v>
      </c>
      <c r="G22" s="6"/>
      <c r="H22" s="3">
        <f t="shared" si="25"/>
        <v>3</v>
      </c>
      <c r="I22" s="34"/>
      <c r="J22" s="34"/>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Z22" s="72"/>
      <c r="BB22" s="72"/>
      <c r="BD22" s="72"/>
      <c r="BF22" s="72"/>
      <c r="BH22" s="72"/>
    </row>
    <row r="23" spans="1:60" s="29" customFormat="1" ht="30" customHeight="1" thickBot="1" x14ac:dyDescent="0.25">
      <c r="A23" s="4"/>
      <c r="B23" s="55" t="s">
        <v>15</v>
      </c>
      <c r="C23" s="56" t="s">
        <v>37</v>
      </c>
      <c r="D23" s="57">
        <v>1</v>
      </c>
      <c r="E23" s="58">
        <v>46078</v>
      </c>
      <c r="F23" s="58">
        <v>46079</v>
      </c>
      <c r="G23" s="6"/>
      <c r="H23" s="3">
        <f t="shared" si="25"/>
        <v>2</v>
      </c>
      <c r="I23" s="34"/>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Z23" s="72"/>
      <c r="BB23" s="72"/>
      <c r="BD23" s="72"/>
      <c r="BF23" s="72"/>
      <c r="BH23" s="72"/>
    </row>
    <row r="24" spans="1:60" s="29" customFormat="1" ht="30" customHeight="1" thickBot="1" x14ac:dyDescent="0.25">
      <c r="A24" s="4"/>
      <c r="B24" s="55" t="s">
        <v>40</v>
      </c>
      <c r="C24" s="56" t="s">
        <v>37</v>
      </c>
      <c r="D24" s="57">
        <v>1</v>
      </c>
      <c r="E24" s="58">
        <v>46079</v>
      </c>
      <c r="F24" s="58">
        <v>46079</v>
      </c>
      <c r="G24" s="6"/>
      <c r="H24" s="3"/>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Z24" s="72"/>
      <c r="BB24" s="72"/>
      <c r="BD24" s="72"/>
      <c r="BF24" s="72"/>
      <c r="BH24" s="72"/>
    </row>
    <row r="25" spans="1:60" s="29" customFormat="1" ht="30" customHeight="1" thickBot="1" x14ac:dyDescent="0.25">
      <c r="A25" s="4"/>
      <c r="B25" s="55" t="s">
        <v>20</v>
      </c>
      <c r="C25" s="56" t="s">
        <v>37</v>
      </c>
      <c r="D25" s="57">
        <v>1</v>
      </c>
      <c r="E25" s="58">
        <v>46079</v>
      </c>
      <c r="F25" s="58">
        <v>46080</v>
      </c>
      <c r="G25" s="6"/>
      <c r="H25" s="3">
        <f t="shared" si="25"/>
        <v>2</v>
      </c>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Z25" s="72"/>
      <c r="BB25" s="72"/>
      <c r="BD25" s="72"/>
      <c r="BF25" s="72"/>
      <c r="BH25" s="72"/>
    </row>
    <row r="26" spans="1:60" s="29" customFormat="1" ht="30" customHeight="1" thickBot="1" x14ac:dyDescent="0.25">
      <c r="A26" s="4"/>
      <c r="B26" s="55" t="s">
        <v>16</v>
      </c>
      <c r="C26" s="56" t="s">
        <v>37</v>
      </c>
      <c r="D26" s="57">
        <v>1</v>
      </c>
      <c r="E26" s="58">
        <v>46080</v>
      </c>
      <c r="F26" s="58">
        <v>46080</v>
      </c>
      <c r="G26" s="6"/>
      <c r="H26" s="3">
        <f t="shared" si="25"/>
        <v>1</v>
      </c>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Z26" s="72"/>
      <c r="BB26" s="72"/>
      <c r="BD26" s="72"/>
      <c r="BF26" s="72"/>
      <c r="BH26" s="72"/>
    </row>
    <row r="27" spans="1:60" s="29" customFormat="1" ht="30" customHeight="1" thickBot="1" x14ac:dyDescent="0.25">
      <c r="A27" s="4"/>
      <c r="B27" s="59" t="s">
        <v>41</v>
      </c>
      <c r="C27" s="60"/>
      <c r="D27" s="61"/>
      <c r="E27" s="62"/>
      <c r="F27" s="63"/>
      <c r="G27" s="6"/>
      <c r="H27" s="3" t="str">
        <f t="shared" si="25"/>
        <v/>
      </c>
      <c r="I27" s="64"/>
      <c r="J27" s="64"/>
      <c r="K27" s="64"/>
      <c r="L27" s="64"/>
      <c r="M27" s="64"/>
      <c r="N27" s="64"/>
      <c r="O27" s="64"/>
      <c r="P27" s="64"/>
      <c r="Q27" s="64"/>
      <c r="R27" s="64"/>
      <c r="S27" s="64"/>
      <c r="T27" s="64"/>
      <c r="U27" s="64"/>
      <c r="V27" s="64"/>
      <c r="W27" s="64"/>
      <c r="X27" s="64"/>
      <c r="Y27" s="64"/>
      <c r="Z27" s="64"/>
      <c r="AA27" s="64"/>
      <c r="AB27" s="64"/>
      <c r="AC27" s="64"/>
      <c r="AD27" s="64"/>
      <c r="AE27" s="64"/>
      <c r="AF27" s="64"/>
      <c r="AG27" s="64"/>
      <c r="AH27" s="64"/>
      <c r="AI27" s="64"/>
      <c r="AJ27" s="64"/>
      <c r="AK27" s="64"/>
      <c r="AL27" s="64"/>
      <c r="AM27" s="64"/>
      <c r="AN27" s="64"/>
      <c r="AO27" s="64"/>
      <c r="AP27" s="64"/>
      <c r="AQ27" s="64"/>
      <c r="AR27" s="64"/>
      <c r="AS27" s="64"/>
      <c r="AT27" s="64"/>
      <c r="AU27" s="64"/>
      <c r="AV27" s="64"/>
      <c r="AW27" s="64"/>
      <c r="AX27" s="64"/>
      <c r="AZ27" s="87"/>
      <c r="BA27" s="82"/>
      <c r="BB27" s="82"/>
      <c r="BC27" s="82"/>
      <c r="BD27" s="82"/>
      <c r="BE27" s="82"/>
      <c r="BF27" s="82"/>
      <c r="BG27" s="88"/>
      <c r="BH27" s="72"/>
    </row>
    <row r="28" spans="1:60" s="29" customFormat="1" ht="30" customHeight="1" thickBot="1" x14ac:dyDescent="0.25">
      <c r="A28" s="4"/>
      <c r="B28" s="65" t="s">
        <v>42</v>
      </c>
      <c r="C28" s="66" t="s">
        <v>37</v>
      </c>
      <c r="D28" s="67">
        <v>0</v>
      </c>
      <c r="E28" s="68"/>
      <c r="F28" s="68"/>
      <c r="G28" s="6"/>
      <c r="H28" s="3" t="str">
        <f t="shared" si="25"/>
        <v/>
      </c>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Z28" s="72"/>
      <c r="BB28" s="72"/>
      <c r="BD28" s="72"/>
      <c r="BF28" s="72"/>
      <c r="BH28" s="72"/>
    </row>
    <row r="29" spans="1:60" s="29" customFormat="1" ht="30" customHeight="1" thickBot="1" x14ac:dyDescent="0.25">
      <c r="A29" s="4"/>
      <c r="B29" s="65" t="s">
        <v>43</v>
      </c>
      <c r="C29" s="66" t="s">
        <v>37</v>
      </c>
      <c r="D29" s="67">
        <v>0</v>
      </c>
      <c r="E29" s="68"/>
      <c r="F29" s="68"/>
      <c r="G29" s="6"/>
      <c r="H29" s="3" t="str">
        <f t="shared" si="25"/>
        <v/>
      </c>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Z29" s="72"/>
      <c r="BB29" s="72"/>
      <c r="BD29" s="72"/>
      <c r="BF29" s="72"/>
      <c r="BH29" s="72"/>
    </row>
    <row r="30" spans="1:60" s="29" customFormat="1" ht="30" customHeight="1" thickBot="1" x14ac:dyDescent="0.25">
      <c r="A30" s="4"/>
      <c r="B30" s="65" t="s">
        <v>44</v>
      </c>
      <c r="C30" s="66" t="s">
        <v>37</v>
      </c>
      <c r="D30" s="67">
        <v>0</v>
      </c>
      <c r="E30" s="68"/>
      <c r="F30" s="68"/>
      <c r="G30" s="6"/>
      <c r="H30" s="3" t="str">
        <f t="shared" si="25"/>
        <v/>
      </c>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Z30" s="72"/>
      <c r="BB30" s="72"/>
      <c r="BD30" s="72"/>
      <c r="BF30" s="72"/>
      <c r="BH30" s="72"/>
    </row>
    <row r="31" spans="1:60" s="29" customFormat="1" ht="30" customHeight="1" thickBot="1" x14ac:dyDescent="0.25">
      <c r="A31" s="4"/>
      <c r="B31" s="65" t="s">
        <v>45</v>
      </c>
      <c r="C31" s="66" t="s">
        <v>37</v>
      </c>
      <c r="D31" s="67">
        <v>0</v>
      </c>
      <c r="E31" s="68"/>
      <c r="F31" s="68"/>
      <c r="G31" s="6"/>
      <c r="H31" s="3" t="str">
        <f t="shared" si="25"/>
        <v/>
      </c>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Z31" s="72"/>
      <c r="BB31" s="72"/>
      <c r="BD31" s="72"/>
      <c r="BF31" s="72"/>
      <c r="BH31" s="72"/>
    </row>
    <row r="32" spans="1:60" s="29" customFormat="1" ht="30" customHeight="1" thickBot="1" x14ac:dyDescent="0.25">
      <c r="A32" s="4"/>
      <c r="B32" s="65" t="s">
        <v>46</v>
      </c>
      <c r="C32" s="66" t="s">
        <v>37</v>
      </c>
      <c r="D32" s="67">
        <v>0</v>
      </c>
      <c r="E32" s="68"/>
      <c r="F32" s="68"/>
      <c r="G32" s="6"/>
      <c r="H32" s="3"/>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Z32" s="72"/>
      <c r="BB32" s="72"/>
      <c r="BD32" s="72"/>
      <c r="BF32" s="72"/>
      <c r="BH32" s="72"/>
    </row>
    <row r="33" spans="1:60" s="29" customFormat="1" ht="30" customHeight="1" thickBot="1" x14ac:dyDescent="0.25">
      <c r="A33" s="4"/>
      <c r="B33" s="65" t="s">
        <v>47</v>
      </c>
      <c r="C33" s="66" t="s">
        <v>37</v>
      </c>
      <c r="D33" s="67">
        <v>0</v>
      </c>
      <c r="E33" s="68"/>
      <c r="F33" s="68"/>
      <c r="G33" s="6"/>
      <c r="H33" s="3" t="str">
        <f t="shared" si="25"/>
        <v/>
      </c>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c r="AZ33" s="78"/>
      <c r="BA33" s="79"/>
      <c r="BB33" s="78"/>
      <c r="BC33" s="79"/>
      <c r="BD33" s="78"/>
      <c r="BE33" s="79"/>
      <c r="BF33" s="78"/>
      <c r="BG33" s="79"/>
      <c r="BH33" s="72"/>
    </row>
    <row r="34" spans="1:60" s="29" customFormat="1" ht="30" customHeight="1" thickBot="1" x14ac:dyDescent="0.25">
      <c r="A34" s="4"/>
      <c r="B34" s="23" t="s">
        <v>11</v>
      </c>
      <c r="C34" s="24"/>
      <c r="D34" s="25"/>
      <c r="E34" s="26"/>
      <c r="F34" s="27"/>
      <c r="G34" s="6"/>
      <c r="H34" s="3" t="str">
        <f t="shared" si="25"/>
        <v/>
      </c>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Z34" s="78"/>
      <c r="BA34" s="82"/>
      <c r="BB34" s="82"/>
      <c r="BC34" s="82"/>
      <c r="BD34" s="82"/>
      <c r="BE34" s="82"/>
      <c r="BF34" s="82"/>
      <c r="BG34" s="79"/>
      <c r="BH34" s="72"/>
    </row>
    <row r="35" spans="1:60" s="29" customFormat="1" ht="30" customHeight="1" thickBot="1" x14ac:dyDescent="0.25">
      <c r="A35" s="5"/>
      <c r="B35" s="30" t="s">
        <v>23</v>
      </c>
      <c r="C35" s="31" t="s">
        <v>37</v>
      </c>
      <c r="D35" s="32">
        <v>0</v>
      </c>
      <c r="E35" s="33">
        <v>46080</v>
      </c>
      <c r="F35" s="33">
        <v>46087</v>
      </c>
      <c r="G35" s="6"/>
      <c r="H35" s="3">
        <f t="shared" si="25"/>
        <v>8</v>
      </c>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Z35" s="72"/>
      <c r="BB35" s="72"/>
      <c r="BD35" s="72"/>
      <c r="BF35" s="72"/>
      <c r="BH35" s="72"/>
    </row>
    <row r="36" spans="1:60" ht="30" customHeight="1" thickBot="1" x14ac:dyDescent="0.25">
      <c r="B36" s="35" t="s">
        <v>24</v>
      </c>
      <c r="C36" s="36" t="s">
        <v>37</v>
      </c>
      <c r="D36" s="37">
        <v>0</v>
      </c>
      <c r="E36" s="38">
        <v>46087</v>
      </c>
      <c r="F36" s="38">
        <v>46094</v>
      </c>
      <c r="G36" s="6"/>
      <c r="H36" s="3"/>
      <c r="I36" s="34"/>
      <c r="J36" s="34"/>
      <c r="K36" s="34"/>
      <c r="L36" s="34"/>
      <c r="M36" s="34"/>
      <c r="N36" s="34"/>
      <c r="O36" s="34"/>
      <c r="P36" s="34"/>
      <c r="Q36" s="34"/>
      <c r="R36" s="34"/>
      <c r="S36" s="34"/>
      <c r="T36" s="34"/>
      <c r="U36" s="39"/>
      <c r="V36" s="39"/>
      <c r="W36" s="34"/>
      <c r="X36" s="34"/>
      <c r="Y36" s="34"/>
      <c r="Z36" s="34"/>
      <c r="AA36" s="34"/>
      <c r="AB36" s="39"/>
      <c r="AC36" s="39"/>
      <c r="AD36" s="34"/>
      <c r="AE36" s="34"/>
      <c r="AF36" s="34"/>
      <c r="AG36" s="34"/>
      <c r="AH36" s="34"/>
      <c r="AI36" s="39"/>
      <c r="AJ36" s="39"/>
      <c r="AK36" s="34"/>
      <c r="AL36" s="34"/>
      <c r="AM36" s="34"/>
      <c r="AN36" s="34"/>
      <c r="AO36" s="34"/>
      <c r="AP36" s="39"/>
      <c r="AQ36" s="39"/>
      <c r="AR36" s="34"/>
      <c r="AS36" s="34"/>
      <c r="AT36" s="34"/>
      <c r="AU36" s="34"/>
      <c r="AV36" s="34"/>
      <c r="AW36" s="39"/>
      <c r="AX36" s="39"/>
      <c r="AZ36" s="70"/>
      <c r="BB36" s="70"/>
      <c r="BD36" s="70"/>
      <c r="BF36" s="70"/>
      <c r="BH36" s="70"/>
    </row>
    <row r="37" spans="1:60" ht="30" customHeight="1" thickBot="1" x14ac:dyDescent="0.25">
      <c r="B37" s="35" t="s">
        <v>25</v>
      </c>
      <c r="C37" s="36" t="s">
        <v>37</v>
      </c>
      <c r="D37" s="37">
        <v>0</v>
      </c>
      <c r="E37" s="38">
        <v>46094</v>
      </c>
      <c r="F37" s="38">
        <v>46108</v>
      </c>
      <c r="G37" s="6"/>
      <c r="H37" s="3"/>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Z37" s="70"/>
      <c r="BB37" s="70"/>
      <c r="BD37" s="70"/>
      <c r="BF37" s="70"/>
      <c r="BH37" s="70"/>
    </row>
    <row r="38" spans="1:60" ht="30" customHeight="1" thickBot="1" x14ac:dyDescent="0.25">
      <c r="B38" s="35" t="s">
        <v>48</v>
      </c>
      <c r="C38" s="36" t="s">
        <v>37</v>
      </c>
      <c r="D38" s="37">
        <v>0</v>
      </c>
      <c r="E38" s="38">
        <v>46108</v>
      </c>
      <c r="F38" s="38">
        <v>46112</v>
      </c>
      <c r="G38" s="6"/>
      <c r="H38" s="3"/>
      <c r="I38" s="34"/>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c r="AV38" s="34"/>
      <c r="AW38" s="34"/>
      <c r="AX38" s="34"/>
      <c r="AZ38" s="70"/>
      <c r="BB38" s="70"/>
      <c r="BD38" s="70"/>
      <c r="BF38" s="70"/>
      <c r="BH38" s="70"/>
    </row>
    <row r="39" spans="1:60" ht="30" customHeight="1" thickBot="1" x14ac:dyDescent="0.25">
      <c r="B39" s="35" t="s">
        <v>26</v>
      </c>
      <c r="C39" s="36" t="s">
        <v>37</v>
      </c>
      <c r="D39" s="37">
        <v>0</v>
      </c>
      <c r="E39" s="38">
        <v>46109</v>
      </c>
      <c r="F39" s="38">
        <v>46112</v>
      </c>
      <c r="G39" s="6"/>
      <c r="H39" s="3"/>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Z39" s="70"/>
      <c r="BB39" s="70"/>
      <c r="BD39" s="70"/>
      <c r="BF39" s="70"/>
      <c r="BH39" s="70"/>
    </row>
    <row r="40" spans="1:60" ht="30" customHeight="1" thickBot="1" x14ac:dyDescent="0.25">
      <c r="B40" s="35" t="s">
        <v>27</v>
      </c>
      <c r="C40" s="36" t="s">
        <v>37</v>
      </c>
      <c r="D40" s="37">
        <v>0</v>
      </c>
      <c r="E40" s="38">
        <v>46112</v>
      </c>
      <c r="F40" s="38">
        <v>46112</v>
      </c>
      <c r="G40" s="6"/>
      <c r="H40" s="3"/>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Z40" s="73"/>
      <c r="BA40" s="74"/>
      <c r="BB40" s="73"/>
      <c r="BC40" s="74"/>
      <c r="BD40" s="73"/>
      <c r="BE40" s="74"/>
      <c r="BF40" s="73"/>
      <c r="BG40" s="75"/>
      <c r="BH40" s="70"/>
    </row>
    <row r="41" spans="1:60" ht="30" customHeight="1" thickBot="1" x14ac:dyDescent="0.25">
      <c r="B41" s="40" t="s">
        <v>12</v>
      </c>
      <c r="C41" s="41"/>
      <c r="D41" s="42"/>
      <c r="E41" s="43"/>
      <c r="F41" s="44"/>
      <c r="G41" s="6"/>
      <c r="H41" s="3" t="str">
        <f t="shared" ref="H41:H42" si="26">IF(OR(ISBLANK(task_start),ISBLANK(task_end)),"",task_end-task_start+1)</f>
        <v/>
      </c>
      <c r="I41" s="29"/>
      <c r="J41" s="29"/>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c r="AV41" s="29"/>
      <c r="AW41" s="29"/>
      <c r="AX41" s="29"/>
      <c r="AY41" s="84"/>
      <c r="AZ41" s="73"/>
      <c r="BA41" s="74"/>
      <c r="BB41" s="74"/>
      <c r="BC41" s="74"/>
      <c r="BD41" s="74"/>
      <c r="BE41" s="74"/>
      <c r="BF41" s="74"/>
      <c r="BG41" s="74"/>
      <c r="BH41" s="70"/>
    </row>
    <row r="42" spans="1:60" ht="30" customHeight="1" thickBot="1" x14ac:dyDescent="0.25">
      <c r="B42" s="45" t="s">
        <v>49</v>
      </c>
      <c r="C42" s="46" t="s">
        <v>37</v>
      </c>
      <c r="D42" s="47">
        <v>0</v>
      </c>
      <c r="E42" s="48"/>
      <c r="F42" s="48"/>
      <c r="G42" s="6"/>
      <c r="H42" s="3" t="str">
        <f t="shared" si="26"/>
        <v/>
      </c>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4"/>
      <c r="AU42" s="34"/>
      <c r="AV42" s="34"/>
      <c r="AW42" s="34"/>
      <c r="AX42" s="34"/>
      <c r="AY42" s="29"/>
      <c r="AZ42" s="70"/>
      <c r="BB42" s="70"/>
      <c r="BD42" s="70"/>
      <c r="BF42" s="70"/>
      <c r="BH42" s="70"/>
    </row>
    <row r="43" spans="1:60" ht="30" customHeight="1" thickBot="1" x14ac:dyDescent="0.25">
      <c r="B43" s="45" t="s">
        <v>50</v>
      </c>
      <c r="C43" s="46" t="s">
        <v>37</v>
      </c>
      <c r="D43" s="47">
        <v>0</v>
      </c>
      <c r="E43" s="48"/>
      <c r="F43" s="48"/>
      <c r="G43" s="6"/>
      <c r="H43" s="3"/>
      <c r="I43" s="34"/>
      <c r="J43" s="34"/>
      <c r="K43" s="34"/>
      <c r="L43" s="34"/>
      <c r="M43" s="34"/>
      <c r="N43" s="34"/>
      <c r="O43" s="34"/>
      <c r="P43" s="34"/>
      <c r="Q43" s="34"/>
      <c r="R43" s="34"/>
      <c r="S43" s="34"/>
      <c r="T43" s="34"/>
      <c r="U43" s="39"/>
      <c r="V43" s="39"/>
      <c r="W43" s="34"/>
      <c r="X43" s="34"/>
      <c r="Y43" s="34"/>
      <c r="Z43" s="34"/>
      <c r="AA43" s="34"/>
      <c r="AB43" s="39"/>
      <c r="AC43" s="39"/>
      <c r="AD43" s="34"/>
      <c r="AE43" s="34"/>
      <c r="AF43" s="34"/>
      <c r="AG43" s="34"/>
      <c r="AH43" s="34"/>
      <c r="AI43" s="39"/>
      <c r="AJ43" s="39"/>
      <c r="AK43" s="34"/>
      <c r="AL43" s="34"/>
      <c r="AM43" s="34"/>
      <c r="AN43" s="34"/>
      <c r="AO43" s="34"/>
      <c r="AP43" s="39"/>
      <c r="AQ43" s="39"/>
      <c r="AR43" s="34"/>
      <c r="AS43" s="34"/>
      <c r="AT43" s="34"/>
      <c r="AU43" s="34"/>
      <c r="AV43" s="34"/>
      <c r="AW43" s="39"/>
      <c r="AX43" s="39"/>
      <c r="AZ43" s="70"/>
      <c r="BB43" s="70"/>
      <c r="BD43" s="70"/>
      <c r="BF43" s="70"/>
      <c r="BH43" s="70"/>
    </row>
    <row r="44" spans="1:60" ht="30" customHeight="1" thickBot="1" x14ac:dyDescent="0.25">
      <c r="B44" s="45" t="s">
        <v>51</v>
      </c>
      <c r="C44" s="46" t="s">
        <v>37</v>
      </c>
      <c r="D44" s="47">
        <v>0</v>
      </c>
      <c r="E44" s="48"/>
      <c r="F44" s="48"/>
      <c r="G44" s="6"/>
      <c r="H44" s="3"/>
      <c r="I44" s="34"/>
      <c r="J44" s="34"/>
      <c r="K44" s="34"/>
      <c r="L44" s="34"/>
      <c r="M44" s="34"/>
      <c r="N44" s="34"/>
      <c r="O44" s="34"/>
      <c r="P44" s="34"/>
      <c r="Q44" s="34"/>
      <c r="R44" s="34"/>
      <c r="S44" s="34"/>
      <c r="T44" s="34"/>
      <c r="U44" s="39"/>
      <c r="V44" s="39"/>
      <c r="W44" s="34"/>
      <c r="X44" s="34"/>
      <c r="Y44" s="34"/>
      <c r="Z44" s="34"/>
      <c r="AA44" s="34"/>
      <c r="AB44" s="39"/>
      <c r="AC44" s="39"/>
      <c r="AD44" s="34"/>
      <c r="AE44" s="34"/>
      <c r="AF44" s="34"/>
      <c r="AG44" s="34"/>
      <c r="AH44" s="34"/>
      <c r="AI44" s="39"/>
      <c r="AJ44" s="39"/>
      <c r="AK44" s="34"/>
      <c r="AL44" s="34"/>
      <c r="AM44" s="34"/>
      <c r="AN44" s="34"/>
      <c r="AO44" s="34"/>
      <c r="AP44" s="39"/>
      <c r="AQ44" s="39"/>
      <c r="AR44" s="34"/>
      <c r="AS44" s="34"/>
      <c r="AT44" s="34"/>
      <c r="AU44" s="34"/>
      <c r="AV44" s="34"/>
      <c r="AW44" s="39"/>
      <c r="AX44" s="39"/>
      <c r="AZ44" s="70"/>
      <c r="BB44" s="70"/>
      <c r="BD44" s="70"/>
      <c r="BF44" s="70"/>
      <c r="BH44" s="70"/>
    </row>
    <row r="45" spans="1:60" ht="30" customHeight="1" thickBot="1" x14ac:dyDescent="0.25">
      <c r="B45" s="45" t="s">
        <v>52</v>
      </c>
      <c r="C45" s="46" t="s">
        <v>37</v>
      </c>
      <c r="D45" s="47">
        <v>0</v>
      </c>
      <c r="E45" s="48"/>
      <c r="F45" s="48"/>
      <c r="G45" s="6"/>
      <c r="H45" s="3"/>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Z45" s="70"/>
      <c r="BB45" s="70"/>
      <c r="BD45" s="70"/>
      <c r="BF45" s="70"/>
      <c r="BH45" s="70"/>
    </row>
    <row r="46" spans="1:60" ht="30" customHeight="1" thickBot="1" x14ac:dyDescent="0.25">
      <c r="B46" s="45" t="s">
        <v>53</v>
      </c>
      <c r="C46" s="46" t="s">
        <v>37</v>
      </c>
      <c r="D46" s="47">
        <v>0</v>
      </c>
      <c r="E46" s="48"/>
      <c r="F46" s="48"/>
      <c r="G46" s="6"/>
      <c r="H46" s="3"/>
      <c r="I46" s="34"/>
      <c r="J46" s="34"/>
      <c r="K46" s="34"/>
      <c r="L46" s="34"/>
      <c r="M46" s="34"/>
      <c r="N46" s="34"/>
      <c r="O46" s="34"/>
      <c r="P46" s="34"/>
      <c r="Q46" s="34"/>
      <c r="R46" s="34"/>
      <c r="S46" s="34"/>
      <c r="T46" s="34"/>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Z46" s="70"/>
      <c r="BB46" s="70"/>
      <c r="BD46" s="70"/>
      <c r="BF46" s="70"/>
      <c r="BH46" s="70"/>
    </row>
    <row r="47" spans="1:60" ht="30" customHeight="1" thickBot="1" x14ac:dyDescent="0.25">
      <c r="B47" s="45" t="s">
        <v>26</v>
      </c>
      <c r="C47" s="46" t="s">
        <v>37</v>
      </c>
      <c r="D47" s="47">
        <v>0</v>
      </c>
      <c r="E47" s="48">
        <v>46110</v>
      </c>
      <c r="F47" s="48">
        <v>46112</v>
      </c>
      <c r="G47" s="6"/>
      <c r="H47" s="3"/>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Z47" s="70"/>
      <c r="BB47" s="70"/>
      <c r="BD47" s="70"/>
      <c r="BF47" s="70"/>
      <c r="BH47" s="70"/>
    </row>
    <row r="48" spans="1:60" ht="30" customHeight="1" thickBot="1" x14ac:dyDescent="0.25">
      <c r="B48" s="45" t="s">
        <v>27</v>
      </c>
      <c r="C48" s="46" t="s">
        <v>37</v>
      </c>
      <c r="D48" s="47">
        <v>0</v>
      </c>
      <c r="E48" s="48">
        <v>46112</v>
      </c>
      <c r="F48" s="48">
        <v>46112</v>
      </c>
      <c r="G48" s="6"/>
      <c r="H48" s="3"/>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Z48" s="73"/>
      <c r="BA48" s="74"/>
      <c r="BB48" s="73"/>
      <c r="BC48" s="74"/>
      <c r="BD48" s="73"/>
      <c r="BE48" s="74"/>
      <c r="BF48" s="73"/>
      <c r="BG48" s="75"/>
      <c r="BH48" s="70"/>
    </row>
    <row r="49" spans="2:60" ht="30" customHeight="1" thickBot="1" x14ac:dyDescent="0.25">
      <c r="B49" s="49" t="s">
        <v>13</v>
      </c>
      <c r="C49" s="50"/>
      <c r="D49" s="51"/>
      <c r="E49" s="52"/>
      <c r="F49" s="53"/>
      <c r="G49" s="6"/>
      <c r="H49" s="3" t="str">
        <f t="shared" ref="H49:H50" si="27">IF(OR(ISBLANK(task_start),ISBLANK(task_end)),"",task_end-task_start+1)</f>
        <v/>
      </c>
      <c r="I49" s="54"/>
      <c r="J49" s="54"/>
      <c r="K49" s="54"/>
      <c r="L49" s="54"/>
      <c r="M49" s="54"/>
      <c r="N49" s="54"/>
      <c r="O49" s="54"/>
      <c r="P49" s="54"/>
      <c r="Q49" s="54"/>
      <c r="R49" s="54"/>
      <c r="S49" s="54"/>
      <c r="T49" s="54"/>
      <c r="U49" s="54"/>
      <c r="V49" s="54"/>
      <c r="W49" s="54"/>
      <c r="X49" s="54"/>
      <c r="Y49" s="54"/>
      <c r="Z49" s="54"/>
      <c r="AA49" s="54"/>
      <c r="AB49" s="54"/>
      <c r="AC49" s="54"/>
      <c r="AD49" s="54"/>
      <c r="AE49" s="54"/>
      <c r="AF49" s="54"/>
      <c r="AG49" s="54"/>
      <c r="AH49" s="54"/>
      <c r="AI49" s="54"/>
      <c r="AJ49" s="54"/>
      <c r="AK49" s="54"/>
      <c r="AL49" s="54"/>
      <c r="AM49" s="54"/>
      <c r="AN49" s="54"/>
      <c r="AO49" s="54"/>
      <c r="AP49" s="54"/>
      <c r="AQ49" s="54"/>
      <c r="AR49" s="54"/>
      <c r="AS49" s="54"/>
      <c r="AT49" s="54"/>
      <c r="AU49" s="54"/>
      <c r="AV49" s="54"/>
      <c r="AW49" s="54"/>
      <c r="AX49" s="54"/>
      <c r="AY49" s="29"/>
      <c r="AZ49" s="73"/>
      <c r="BA49" s="85"/>
      <c r="BB49" s="85"/>
      <c r="BC49" s="85"/>
      <c r="BD49" s="85"/>
      <c r="BE49" s="85"/>
      <c r="BF49" s="85"/>
      <c r="BG49" s="86"/>
    </row>
    <row r="50" spans="2:60" ht="30" customHeight="1" thickBot="1" x14ac:dyDescent="0.25">
      <c r="B50" s="55" t="s">
        <v>54</v>
      </c>
      <c r="C50" s="56" t="s">
        <v>37</v>
      </c>
      <c r="D50" s="57">
        <v>0</v>
      </c>
      <c r="E50" s="58"/>
      <c r="F50" s="58"/>
      <c r="G50" s="6"/>
      <c r="H50" s="3" t="str">
        <f t="shared" si="27"/>
        <v/>
      </c>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29"/>
      <c r="AZ50" s="70"/>
      <c r="BB50" s="70"/>
      <c r="BD50" s="70"/>
      <c r="BF50" s="70"/>
      <c r="BH50" s="70"/>
    </row>
    <row r="51" spans="2:60" ht="30" customHeight="1" thickBot="1" x14ac:dyDescent="0.25">
      <c r="B51" s="55" t="s">
        <v>55</v>
      </c>
      <c r="C51" s="56" t="s">
        <v>37</v>
      </c>
      <c r="D51" s="57">
        <v>0</v>
      </c>
      <c r="E51" s="58"/>
      <c r="F51" s="58"/>
      <c r="G51" s="6"/>
      <c r="H51" s="3"/>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Z51" s="70"/>
      <c r="BB51" s="70"/>
      <c r="BD51" s="70"/>
      <c r="BF51" s="70"/>
      <c r="BH51" s="70"/>
    </row>
    <row r="52" spans="2:60" ht="30" customHeight="1" thickBot="1" x14ac:dyDescent="0.25">
      <c r="B52" s="55" t="s">
        <v>56</v>
      </c>
      <c r="C52" s="56" t="s">
        <v>37</v>
      </c>
      <c r="D52" s="57">
        <v>0</v>
      </c>
      <c r="E52" s="58"/>
      <c r="F52" s="58"/>
      <c r="G52" s="6"/>
      <c r="H52" s="3"/>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Z52" s="70"/>
      <c r="BB52" s="70"/>
      <c r="BD52" s="70"/>
      <c r="BF52" s="70"/>
      <c r="BH52" s="70"/>
    </row>
    <row r="53" spans="2:60" ht="30" customHeight="1" thickBot="1" x14ac:dyDescent="0.25">
      <c r="B53" s="55" t="s">
        <v>57</v>
      </c>
      <c r="C53" s="56" t="s">
        <v>37</v>
      </c>
      <c r="D53" s="57">
        <v>0</v>
      </c>
      <c r="E53" s="58"/>
      <c r="F53" s="58"/>
      <c r="G53" s="6"/>
      <c r="H53" s="3"/>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Z53" s="70"/>
      <c r="BB53" s="70"/>
      <c r="BD53" s="70"/>
      <c r="BF53" s="70"/>
      <c r="BH53" s="70"/>
    </row>
    <row r="54" spans="2:60" ht="30" customHeight="1" thickBot="1" x14ac:dyDescent="0.25">
      <c r="B54" s="55" t="s">
        <v>58</v>
      </c>
      <c r="C54" s="56" t="s">
        <v>37</v>
      </c>
      <c r="D54" s="57">
        <v>0</v>
      </c>
      <c r="E54" s="58">
        <v>46108</v>
      </c>
      <c r="F54" s="58">
        <v>46108</v>
      </c>
      <c r="G54" s="6"/>
      <c r="H54" s="3"/>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Z54" s="70"/>
      <c r="BB54" s="70"/>
      <c r="BD54" s="70"/>
      <c r="BF54" s="70"/>
      <c r="BH54" s="70"/>
    </row>
    <row r="55" spans="2:60" ht="30" customHeight="1" thickBot="1" x14ac:dyDescent="0.25">
      <c r="B55" s="55" t="s">
        <v>59</v>
      </c>
      <c r="C55" s="56" t="s">
        <v>37</v>
      </c>
      <c r="D55" s="57">
        <v>0</v>
      </c>
      <c r="E55" s="58">
        <v>46108</v>
      </c>
      <c r="F55" s="58">
        <v>46110</v>
      </c>
      <c r="G55" s="6"/>
      <c r="H55" s="3"/>
      <c r="I55" s="34"/>
      <c r="J55" s="34"/>
      <c r="K55" s="34"/>
      <c r="L55" s="34"/>
      <c r="M55" s="34"/>
      <c r="N55" s="34"/>
      <c r="O55" s="34"/>
      <c r="P55" s="34"/>
      <c r="Q55" s="34"/>
      <c r="R55" s="34"/>
      <c r="S55" s="34"/>
      <c r="T55" s="34"/>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Z55" s="70"/>
      <c r="BB55" s="70"/>
      <c r="BD55" s="70"/>
      <c r="BF55" s="70"/>
      <c r="BH55" s="70"/>
    </row>
    <row r="56" spans="2:60" ht="30" customHeight="1" thickBot="1" x14ac:dyDescent="0.25">
      <c r="B56" s="55" t="s">
        <v>20</v>
      </c>
      <c r="C56" s="56" t="s">
        <v>37</v>
      </c>
      <c r="D56" s="57">
        <v>0</v>
      </c>
      <c r="E56" s="58">
        <v>46110</v>
      </c>
      <c r="F56" s="58">
        <v>46112</v>
      </c>
      <c r="G56" s="6"/>
      <c r="H56" s="3"/>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Z56" s="70"/>
      <c r="BB56" s="70"/>
      <c r="BD56" s="70"/>
      <c r="BF56" s="70"/>
      <c r="BH56" s="70"/>
    </row>
    <row r="57" spans="2:60" ht="30" customHeight="1" thickBot="1" x14ac:dyDescent="0.25">
      <c r="B57" s="55" t="s">
        <v>19</v>
      </c>
      <c r="C57" s="56" t="s">
        <v>37</v>
      </c>
      <c r="D57" s="57">
        <v>0</v>
      </c>
      <c r="E57" s="58">
        <v>46112</v>
      </c>
      <c r="F57" s="58">
        <v>46112</v>
      </c>
      <c r="G57" s="6"/>
      <c r="H57" s="3"/>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Z57" s="73"/>
      <c r="BA57" s="74"/>
      <c r="BB57" s="73"/>
      <c r="BC57" s="74"/>
      <c r="BD57" s="73"/>
      <c r="BE57" s="74"/>
      <c r="BF57" s="73"/>
      <c r="BG57" s="75"/>
      <c r="BH57" s="70"/>
    </row>
  </sheetData>
  <mergeCells count="23">
    <mergeCell ref="AZ1:BG1"/>
    <mergeCell ref="BB2:BE3"/>
    <mergeCell ref="BD8:BE8"/>
    <mergeCell ref="BB8:BC8"/>
    <mergeCell ref="AZ8:BA8"/>
    <mergeCell ref="BF8:BG8"/>
    <mergeCell ref="AR4:AX4"/>
    <mergeCell ref="F5:F6"/>
    <mergeCell ref="Q2:Z2"/>
    <mergeCell ref="Q1:Z1"/>
    <mergeCell ref="I1:O1"/>
    <mergeCell ref="I2:O2"/>
    <mergeCell ref="B2:F3"/>
    <mergeCell ref="I4:O4"/>
    <mergeCell ref="P4:V4"/>
    <mergeCell ref="W4:AC4"/>
    <mergeCell ref="AD4:AJ4"/>
    <mergeCell ref="AK4:AQ4"/>
    <mergeCell ref="A5:A6"/>
    <mergeCell ref="B5:B6"/>
    <mergeCell ref="C5:C6"/>
    <mergeCell ref="D5:D6"/>
    <mergeCell ref="E5:E6"/>
  </mergeCells>
  <conditionalFormatting sqref="D7:D57">
    <cfRule type="dataBar" priority="47">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AX57">
    <cfRule type="expression" dxfId="8" priority="25">
      <formula>AND(TODAY()&gt;=I$5, TODAY()&lt;J$5)</formula>
    </cfRule>
  </conditionalFormatting>
  <conditionalFormatting sqref="I9:AX13 I35:AX40">
    <cfRule type="expression" dxfId="7" priority="30">
      <formula>AND(task_start&lt;=I$5,ROUNDDOWN((task_end-task_start+1)*task_progress,0)+task_start-1&gt;=I$5)</formula>
    </cfRule>
    <cfRule type="expression" dxfId="6" priority="31" stopIfTrue="1">
      <formula>AND(task_end&gt;=I$5,task_start&lt;J$5)</formula>
    </cfRule>
  </conditionalFormatting>
  <conditionalFormatting sqref="I15:AX20 I42:AX48">
    <cfRule type="expression" dxfId="5" priority="28">
      <formula>AND(task_start&lt;=I$5,ROUNDDOWN((task_end-task_start+1)*task_progress,0)+task_start-1&gt;=I$5)</formula>
    </cfRule>
    <cfRule type="expression" dxfId="4" priority="29" stopIfTrue="1">
      <formula>AND(task_end&gt;=I$5,task_start&lt;J$5)</formula>
    </cfRule>
  </conditionalFormatting>
  <conditionalFormatting sqref="I22:AX26 I50:AX57">
    <cfRule type="expression" dxfId="3" priority="26">
      <formula>AND(task_start&lt;=I$5,ROUNDDOWN((task_end-task_start+1)*task_progress,0)+task_start-1&gt;=I$5)</formula>
    </cfRule>
    <cfRule type="expression" dxfId="2" priority="27" stopIfTrue="1">
      <formula>AND(task_end&gt;=I$5,task_start&lt;J$5)</formula>
    </cfRule>
  </conditionalFormatting>
  <conditionalFormatting sqref="I28:AX33">
    <cfRule type="expression" dxfId="1" priority="60">
      <formula>AND(task_start&lt;=I$5,ROUNDDOWN((task_end-task_start+1)*task_progress,0)+task_start-1&gt;=I$5)</formula>
    </cfRule>
    <cfRule type="expression" dxfId="0" priority="61"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1" xr:uid="{956902D1-D3B5-416D-BB69-9362D193BC0A}"/>
    <dataValidation allowBlank="1" showInputMessage="1" showErrorMessage="1" prompt="Phase 4's sample block starts in cell B26." sqref="A27"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5"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D7:D57</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2239A0-E68C-493F-BEE6-C77FEA397FD6}">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Project schedule</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Kaycie Lane</dc:creator>
  <cp:keywords/>
  <dc:description/>
  <cp:lastModifiedBy>Jacob Oetken</cp:lastModifiedBy>
  <cp:revision/>
  <dcterms:created xsi:type="dcterms:W3CDTF">2022-03-11T22:41:12Z</dcterms:created>
  <dcterms:modified xsi:type="dcterms:W3CDTF">2026-02-26T23:27:35Z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